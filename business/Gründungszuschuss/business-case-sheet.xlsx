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Übersicht" sheetId="1" r:id="rId4"/>
    <sheet state="visible" name="Umsatz" sheetId="2" r:id="rId5"/>
    <sheet state="visible" name="Wachstum" sheetId="3" r:id="rId6"/>
    <sheet state="visible" name="Kosten" sheetId="4" r:id="rId7"/>
    <sheet state="visible" name="Private Finanzen" sheetId="5" r:id="rId8"/>
    <sheet state="visible" name="Liquidität" sheetId="6" r:id="rId9"/>
    <sheet state="visible" name="Annahmen" sheetId="7" r:id="rId10"/>
    <sheet state="visible" name="Research" sheetId="8" r:id="rId11"/>
  </sheets>
  <definedNames/>
  <calcPr/>
</workbook>
</file>

<file path=xl/sharedStrings.xml><?xml version="1.0" encoding="utf-8"?>
<sst xmlns="http://schemas.openxmlformats.org/spreadsheetml/2006/main" count="206" uniqueCount="170">
  <si>
    <t>Revenue</t>
  </si>
  <si>
    <t>Paid</t>
  </si>
  <si>
    <t>Premium</t>
  </si>
  <si>
    <t>Consulting</t>
  </si>
  <si>
    <t>Kosten</t>
  </si>
  <si>
    <t>Growth</t>
  </si>
  <si>
    <t>Variable Kosten</t>
  </si>
  <si>
    <t>Variable Operative</t>
  </si>
  <si>
    <t>IT Operations</t>
  </si>
  <si>
    <t>Fixkosten</t>
  </si>
  <si>
    <t>Operatives Ergebnis</t>
  </si>
  <si>
    <t>Kapitalbedarf Monat 1-6 vor GZ</t>
  </si>
  <si>
    <t>Profit / Loss</t>
  </si>
  <si>
    <t>Kapitalbedarf Monat 1-6 nach GZ</t>
  </si>
  <si>
    <t>Kapitalbedarf Monat 7-12 nach GZ</t>
  </si>
  <si>
    <t>Lebenshaltungskosten / Gehalt</t>
  </si>
  <si>
    <t>Inputs</t>
  </si>
  <si>
    <t>Calculations</t>
  </si>
  <si>
    <t>Outputs</t>
  </si>
  <si>
    <t>Actuals</t>
  </si>
  <si>
    <t>Scenarios</t>
  </si>
  <si>
    <t>External</t>
  </si>
  <si>
    <t>Warnings</t>
  </si>
  <si>
    <t>Total Revenue</t>
  </si>
  <si>
    <t>Digital Service Revenue</t>
  </si>
  <si>
    <t>Revenue - Free Users</t>
  </si>
  <si>
    <t># users free</t>
  </si>
  <si>
    <t># new users (from Wachstum)</t>
  </si>
  <si>
    <t># active free users</t>
  </si>
  <si>
    <t>Monthly Growth</t>
  </si>
  <si>
    <t>Monthly Growth - Adjustment</t>
  </si>
  <si>
    <t>Monthly Churn</t>
  </si>
  <si>
    <t>Revenue - Paid Users</t>
  </si>
  <si>
    <t># users paid</t>
  </si>
  <si>
    <t>Share of Paid users</t>
  </si>
  <si>
    <t>COST</t>
  </si>
  <si>
    <t>Revenue - Premium Users</t>
  </si>
  <si>
    <t>#users premium</t>
  </si>
  <si>
    <t>Share of Premium users</t>
  </si>
  <si>
    <t>Consulting Revenue</t>
  </si>
  <si>
    <t>Day Rate</t>
  </si>
  <si>
    <t># Paid days / month</t>
  </si>
  <si>
    <t>Monat #</t>
  </si>
  <si>
    <t>Events and direct reachout</t>
  </si>
  <si>
    <t>Neu</t>
  </si>
  <si>
    <t>Kummuliert</t>
  </si>
  <si>
    <t>WOM Rate (pro Nutzer/Monat)</t>
  </si>
  <si>
    <t>1.0%</t>
  </si>
  <si>
    <t>1.1%</t>
  </si>
  <si>
    <t>1.2%</t>
  </si>
  <si>
    <t>1.3%</t>
  </si>
  <si>
    <t>1.4%</t>
  </si>
  <si>
    <t>1.5%</t>
  </si>
  <si>
    <t>1.6%</t>
  </si>
  <si>
    <t>1.7%</t>
  </si>
  <si>
    <t>1.8%</t>
  </si>
  <si>
    <t>1.9%</t>
  </si>
  <si>
    <t>2.0%</t>
  </si>
  <si>
    <t>2.1%</t>
  </si>
  <si>
    <t>2.2%</t>
  </si>
  <si>
    <t>2.3%</t>
  </si>
  <si>
    <t>2.4%</t>
  </si>
  <si>
    <t>2.5%</t>
  </si>
  <si>
    <t>2.7%</t>
  </si>
  <si>
    <t>2.8%</t>
  </si>
  <si>
    <t>2.9%</t>
  </si>
  <si>
    <t>3.1%</t>
  </si>
  <si>
    <t>3.2%</t>
  </si>
  <si>
    <t>3.4%</t>
  </si>
  <si>
    <t>3.6%</t>
  </si>
  <si>
    <t>3.7%</t>
  </si>
  <si>
    <t>3.9%</t>
  </si>
  <si>
    <t>4.1%</t>
  </si>
  <si>
    <t>4.3%</t>
  </si>
  <si>
    <t>4.5%</t>
  </si>
  <si>
    <t>4.8%</t>
  </si>
  <si>
    <t>5.0%</t>
  </si>
  <si>
    <t>5.3%</t>
  </si>
  <si>
    <t>5.5%</t>
  </si>
  <si>
    <t>WOM – Neue Nutzer</t>
  </si>
  <si>
    <t>WOM – Kumuliert</t>
  </si>
  <si>
    <t>Blog / Social / Website</t>
  </si>
  <si>
    <t>Total – Neue Nutzer</t>
  </si>
  <si>
    <t>Total Nutzer (kumuliert)</t>
  </si>
  <si>
    <t>Direktansprachen - kalt</t>
  </si>
  <si>
    <t>Affiliate marketing</t>
  </si>
  <si>
    <t>Assumptions</t>
  </si>
  <si>
    <t>Referrals is a significant share of the growth</t>
  </si>
  <si>
    <t>Public Founder Journey generates visitors</t>
  </si>
  <si>
    <t>Events create frequent user intakes</t>
  </si>
  <si>
    <t>Types of sources</t>
  </si>
  <si>
    <t>Organic - social</t>
  </si>
  <si>
    <t>Events</t>
  </si>
  <si>
    <t>Referrals</t>
  </si>
  <si>
    <t>Friends and Family</t>
  </si>
  <si>
    <t>Early Adoptors</t>
  </si>
  <si>
    <t>Early Majority</t>
  </si>
  <si>
    <t>Late Majority</t>
  </si>
  <si>
    <t>Total</t>
  </si>
  <si>
    <t>Affiliate Marketing</t>
  </si>
  <si>
    <t>AI cost / user</t>
  </si>
  <si>
    <t>Free</t>
  </si>
  <si>
    <t>Verkaufs- &amp; Steuerabwicklungsgebühren (Merchant of Record)</t>
  </si>
  <si>
    <t>Produktentwicklung</t>
  </si>
  <si>
    <t>Quellcode Verwaltung Github</t>
  </si>
  <si>
    <t>Coding Agent: Claude Code</t>
  </si>
  <si>
    <t>Coding IDE: Cursor</t>
  </si>
  <si>
    <t>KI Protoyping: Lovable</t>
  </si>
  <si>
    <t>Rechenleistung für KI Training</t>
  </si>
  <si>
    <t>IT Infrastruktur</t>
  </si>
  <si>
    <t>Hosting (Hetzner, AWS)</t>
  </si>
  <si>
    <t>Sentry (Application Monitoring)</t>
  </si>
  <si>
    <t>´</t>
  </si>
  <si>
    <t>Administrative Kosten</t>
  </si>
  <si>
    <t>Kontoführung</t>
  </si>
  <si>
    <t>Steuerberater</t>
  </si>
  <si>
    <t>One Stop Shop - EU Steueranmeldung (taxdoo)</t>
  </si>
  <si>
    <t>Email &amp; Office</t>
  </si>
  <si>
    <t>Berufshaftpflichtversicherung (exali.de)</t>
  </si>
  <si>
    <t>Brutto</t>
  </si>
  <si>
    <t>Gewerbeanmeldung</t>
  </si>
  <si>
    <t>Equipment für Gründung (private Einlage)</t>
  </si>
  <si>
    <t>Equipment nachkauf</t>
  </si>
  <si>
    <t>IHK Beitrag</t>
  </si>
  <si>
    <t>Reisen und Events</t>
  </si>
  <si>
    <t>Marketing Kosten</t>
  </si>
  <si>
    <t>ChatGPT</t>
  </si>
  <si>
    <t>Gemini</t>
  </si>
  <si>
    <t>Website Hosting</t>
  </si>
  <si>
    <t>Personalkosten</t>
  </si>
  <si>
    <t>Unternehmerlohn</t>
  </si>
  <si>
    <t>Einnahmen außerhalb der Selbständigkeit (monatlich)</t>
  </si>
  <si>
    <t>Nettogehalt Ehe- bzw. Lebenspartner/in</t>
  </si>
  <si>
    <t>Anderer Nettolohn/-gehaltseinnahmen</t>
  </si>
  <si>
    <t>n/a</t>
  </si>
  <si>
    <t>Kindergeld</t>
  </si>
  <si>
    <t>Erziehungsgeld</t>
  </si>
  <si>
    <t>Unterhalt</t>
  </si>
  <si>
    <t xml:space="preserve">Vermietung Badstr. </t>
  </si>
  <si>
    <t>Vermietung Paul Küstner</t>
  </si>
  <si>
    <t>Einkommen aus Kapitalerträgen</t>
  </si>
  <si>
    <t>Sonstige Einnahmen außerhalb der Selbständigkeit</t>
  </si>
  <si>
    <t>Privatausgaben (monatlich)</t>
  </si>
  <si>
    <t>Private Wohnkosten (inkl. Nebenkosten und Strom)</t>
  </si>
  <si>
    <t>Kranken- und Pflegeversicherung</t>
  </si>
  <si>
    <t>Rentenversicherung/Altersvorsorge</t>
  </si>
  <si>
    <t>Arbeitslosenversicherung</t>
  </si>
  <si>
    <t>Sonstige Versicherungen (Berufsunfähigkeit, Haftpflicht, Hausrat, Unfallversicherung etc.)</t>
  </si>
  <si>
    <t>Private Kfz-Kosten</t>
  </si>
  <si>
    <t>Telefon/Fernsehen/Radio/Internet</t>
  </si>
  <si>
    <t>Beiträge (Vereine etc.)</t>
  </si>
  <si>
    <t>Haushaltsnahe Dienstleistungen</t>
  </si>
  <si>
    <t>Kosten des täglichen Bedarfs (Essen, Trinken, Kleidung etc.)</t>
  </si>
  <si>
    <t>Unterhaltszahlungen an andere</t>
  </si>
  <si>
    <t>Anschaffungen Haus</t>
  </si>
  <si>
    <t>Urlaub</t>
  </si>
  <si>
    <t>Hausgeld, Tilgung und Zinsen Badstr</t>
  </si>
  <si>
    <t>Hausgeld Paul Küstner</t>
  </si>
  <si>
    <t>Tilgung und Zinsen Wohnhaus</t>
  </si>
  <si>
    <t>Kita Julian</t>
  </si>
  <si>
    <t>Kita Frederik</t>
  </si>
  <si>
    <t>Rücklagen (jährlich)</t>
  </si>
  <si>
    <t>Rücklage für Einkommensteuer</t>
  </si>
  <si>
    <t>Benötigte Privatentnahme aus der Unternehmung (monatlich)</t>
  </si>
  <si>
    <t>Private Einlagen</t>
  </si>
  <si>
    <t>Private Entnahme Unternehmer</t>
  </si>
  <si>
    <t>ID</t>
  </si>
  <si>
    <t>Assumption</t>
  </si>
  <si>
    <t>Fair usage caps cost of external models for providing the service
Assumption, x% of paid plan</t>
  </si>
  <si>
    <t>Consulting can only start with sufficient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</si>
</sst>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&quot; &quot;yy"/>
    <numFmt numFmtId="165" formatCode="_-* #,##0\ [$€-1]_-;\-* #,##0\ [$€-1]_-;_-* &quot;-&quot;??\ [$€-1]_-;_-@"/>
    <numFmt numFmtId="166" formatCode="_-* #,##0.00\ [$€-1]_-;\-* #,##0.00\ [$€-1]_-;_-* &quot;-&quot;??\ [$€-1]_-;_-@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rgb="FF0000F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1F4E79"/>
        <bgColor rgb="FF1F4E79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2" numFmtId="165" xfId="0" applyFont="1" applyNumberFormat="1"/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2" fontId="1" numFmtId="0" xfId="0" applyFont="1"/>
    <xf borderId="0" fillId="2" fontId="1" numFmtId="0" xfId="0" applyAlignment="1" applyFont="1">
      <alignment readingOrder="0"/>
    </xf>
    <xf borderId="0" fillId="2" fontId="1" numFmtId="165" xfId="0" applyFont="1" applyNumberFormat="1"/>
    <xf borderId="0" fillId="2" fontId="3" numFmtId="0" xfId="0" applyAlignment="1" applyFont="1">
      <alignment readingOrder="0"/>
    </xf>
    <xf borderId="0" fillId="2" fontId="3" numFmtId="0" xfId="0" applyFont="1"/>
    <xf borderId="0" fillId="2" fontId="3" numFmtId="165" xfId="0" applyFont="1" applyNumberFormat="1"/>
    <xf borderId="0" fillId="3" fontId="1" numFmtId="165" xfId="0" applyAlignment="1" applyFill="1" applyFont="1" applyNumberFormat="1">
      <alignment readingOrder="0"/>
    </xf>
    <xf borderId="0" fillId="0" fontId="1" numFmtId="166" xfId="0" applyFont="1" applyNumberFormat="1"/>
    <xf borderId="0" fillId="3" fontId="1" numFmtId="166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2" fontId="1" numFmtId="165" xfId="0" applyAlignment="1" applyFont="1" applyNumberFormat="1">
      <alignment readingOrder="0"/>
    </xf>
    <xf borderId="0" fillId="0" fontId="1" numFmtId="0" xfId="0" applyFont="1"/>
    <xf borderId="0" fillId="3" fontId="1" numFmtId="9" xfId="0" applyAlignment="1" applyFont="1" applyNumberFormat="1">
      <alignment readingOrder="0"/>
    </xf>
    <xf borderId="0" fillId="0" fontId="1" numFmtId="9" xfId="0" applyFont="1" applyNumberFormat="1"/>
    <xf borderId="0" fillId="3" fontId="1" numFmtId="9" xfId="0" applyFont="1" applyNumberFormat="1"/>
    <xf borderId="0" fillId="0" fontId="1" numFmtId="9" xfId="0" applyAlignment="1" applyFont="1" applyNumberFormat="1">
      <alignment readingOrder="0"/>
    </xf>
    <xf borderId="0" fillId="8" fontId="1" numFmtId="0" xfId="0" applyAlignment="1" applyFill="1" applyFont="1">
      <alignment readingOrder="0"/>
    </xf>
    <xf borderId="0" fillId="8" fontId="1" numFmtId="0" xfId="0" applyFont="1"/>
    <xf borderId="0" fillId="8" fontId="1" numFmtId="165" xfId="0" applyFont="1" applyNumberFormat="1"/>
    <xf borderId="0" fillId="0" fontId="4" numFmtId="164" xfId="0" applyAlignment="1" applyFont="1" applyNumberFormat="1">
      <alignment horizontal="right" vertical="bottom"/>
    </xf>
    <xf borderId="0" fillId="9" fontId="5" numFmtId="0" xfId="0" applyAlignment="1" applyFill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7" numFmtId="0" xfId="0" applyAlignment="1" applyFont="1">
      <alignment horizontal="right"/>
    </xf>
    <xf borderId="0" fillId="2" fontId="2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3" fontId="1" numFmtId="165" xfId="0" applyFont="1" applyNumberFormat="1"/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0"/>
    <col customWidth="1" min="2" max="2" width="20.38"/>
    <col customWidth="1" min="3" max="3" width="10.88"/>
    <col customWidth="1" min="4" max="14" width="8.38"/>
    <col customWidth="1" min="15" max="18" width="7.63"/>
    <col customWidth="1" min="19" max="32" width="8.5"/>
    <col customWidth="1" min="33" max="33" width="9.38"/>
    <col customWidth="1" min="34" max="34" width="9.25"/>
    <col customWidth="1" min="35" max="38" width="9.38"/>
  </cols>
  <sheetData>
    <row r="1">
      <c r="B1" s="1"/>
      <c r="C1" s="1">
        <v>46112.0</v>
      </c>
      <c r="D1" s="2">
        <f t="shared" ref="D1:AL1" si="1">EOMONTH(C1,1)</f>
        <v>46142</v>
      </c>
      <c r="E1" s="2">
        <f t="shared" si="1"/>
        <v>46173</v>
      </c>
      <c r="F1" s="2">
        <f t="shared" si="1"/>
        <v>46203</v>
      </c>
      <c r="G1" s="2">
        <f t="shared" si="1"/>
        <v>46234</v>
      </c>
      <c r="H1" s="2">
        <f t="shared" si="1"/>
        <v>46265</v>
      </c>
      <c r="I1" s="2">
        <f t="shared" si="1"/>
        <v>46295</v>
      </c>
      <c r="J1" s="2">
        <f t="shared" si="1"/>
        <v>46326</v>
      </c>
      <c r="K1" s="2">
        <f t="shared" si="1"/>
        <v>46356</v>
      </c>
      <c r="L1" s="2">
        <f t="shared" si="1"/>
        <v>46387</v>
      </c>
      <c r="M1" s="2">
        <f t="shared" si="1"/>
        <v>46418</v>
      </c>
      <c r="N1" s="2">
        <f t="shared" si="1"/>
        <v>46446</v>
      </c>
      <c r="O1" s="2">
        <f t="shared" si="1"/>
        <v>46477</v>
      </c>
      <c r="P1" s="2">
        <f t="shared" si="1"/>
        <v>46507</v>
      </c>
      <c r="Q1" s="2">
        <f t="shared" si="1"/>
        <v>46538</v>
      </c>
      <c r="R1" s="2">
        <f t="shared" si="1"/>
        <v>46568</v>
      </c>
      <c r="S1" s="2">
        <f t="shared" si="1"/>
        <v>46599</v>
      </c>
      <c r="T1" s="2">
        <f t="shared" si="1"/>
        <v>46630</v>
      </c>
      <c r="U1" s="2">
        <f t="shared" si="1"/>
        <v>46660</v>
      </c>
      <c r="V1" s="2">
        <f t="shared" si="1"/>
        <v>46691</v>
      </c>
      <c r="W1" s="2">
        <f t="shared" si="1"/>
        <v>46721</v>
      </c>
      <c r="X1" s="2">
        <f t="shared" si="1"/>
        <v>46752</v>
      </c>
      <c r="Y1" s="2">
        <f t="shared" si="1"/>
        <v>46783</v>
      </c>
      <c r="Z1" s="2">
        <f t="shared" si="1"/>
        <v>46812</v>
      </c>
      <c r="AA1" s="2">
        <f t="shared" si="1"/>
        <v>46843</v>
      </c>
      <c r="AB1" s="2">
        <f t="shared" si="1"/>
        <v>46873</v>
      </c>
      <c r="AC1" s="2">
        <f t="shared" si="1"/>
        <v>46904</v>
      </c>
      <c r="AD1" s="2">
        <f t="shared" si="1"/>
        <v>46934</v>
      </c>
      <c r="AE1" s="2">
        <f t="shared" si="1"/>
        <v>46965</v>
      </c>
      <c r="AF1" s="2">
        <f t="shared" si="1"/>
        <v>46996</v>
      </c>
      <c r="AG1" s="2">
        <f t="shared" si="1"/>
        <v>47026</v>
      </c>
      <c r="AH1" s="2">
        <f t="shared" si="1"/>
        <v>47057</v>
      </c>
      <c r="AI1" s="2">
        <f t="shared" si="1"/>
        <v>47087</v>
      </c>
      <c r="AJ1" s="2">
        <f t="shared" si="1"/>
        <v>47118</v>
      </c>
      <c r="AK1" s="2">
        <f t="shared" si="1"/>
        <v>47149</v>
      </c>
      <c r="AL1" s="2">
        <f t="shared" si="1"/>
        <v>47177</v>
      </c>
    </row>
    <row r="3">
      <c r="A3" s="3" t="s">
        <v>0</v>
      </c>
      <c r="B3" s="4"/>
      <c r="C3" s="5">
        <f t="shared" ref="C3:AL3" si="2">SUM(C4,C5,C7)</f>
        <v>220</v>
      </c>
      <c r="D3" s="5">
        <f t="shared" si="2"/>
        <v>340</v>
      </c>
      <c r="E3" s="5">
        <f t="shared" si="2"/>
        <v>560</v>
      </c>
      <c r="F3" s="5">
        <f t="shared" si="2"/>
        <v>3880</v>
      </c>
      <c r="G3" s="5">
        <f t="shared" si="2"/>
        <v>4220</v>
      </c>
      <c r="H3" s="5">
        <f t="shared" si="2"/>
        <v>4560</v>
      </c>
      <c r="I3" s="5">
        <f t="shared" si="2"/>
        <v>5020</v>
      </c>
      <c r="J3" s="5">
        <f t="shared" si="2"/>
        <v>5400</v>
      </c>
      <c r="K3" s="5">
        <f t="shared" si="2"/>
        <v>5780</v>
      </c>
      <c r="L3" s="5">
        <f t="shared" si="2"/>
        <v>6300</v>
      </c>
      <c r="M3" s="5">
        <f t="shared" si="2"/>
        <v>6820</v>
      </c>
      <c r="N3" s="5">
        <f t="shared" si="2"/>
        <v>7260</v>
      </c>
      <c r="O3" s="5">
        <f t="shared" si="2"/>
        <v>7820</v>
      </c>
      <c r="P3" s="5">
        <f t="shared" si="2"/>
        <v>8400</v>
      </c>
      <c r="Q3" s="5">
        <f t="shared" si="2"/>
        <v>9000</v>
      </c>
      <c r="R3" s="5">
        <f t="shared" si="2"/>
        <v>9640</v>
      </c>
      <c r="S3" s="5">
        <f t="shared" si="2"/>
        <v>10420</v>
      </c>
      <c r="T3" s="5">
        <f t="shared" si="2"/>
        <v>11120</v>
      </c>
      <c r="U3" s="5">
        <f t="shared" si="2"/>
        <v>11960</v>
      </c>
      <c r="V3" s="5">
        <f t="shared" si="2"/>
        <v>12860</v>
      </c>
      <c r="W3" s="5">
        <f t="shared" si="2"/>
        <v>13800</v>
      </c>
      <c r="X3" s="5">
        <f t="shared" si="2"/>
        <v>14780</v>
      </c>
      <c r="Y3" s="5">
        <f t="shared" si="2"/>
        <v>15940</v>
      </c>
      <c r="Z3" s="5">
        <f t="shared" si="2"/>
        <v>17140</v>
      </c>
      <c r="AA3" s="5">
        <f t="shared" si="2"/>
        <v>18540</v>
      </c>
      <c r="AB3" s="5">
        <f t="shared" si="2"/>
        <v>20000</v>
      </c>
      <c r="AC3" s="5">
        <f t="shared" si="2"/>
        <v>21560</v>
      </c>
      <c r="AD3" s="5">
        <f t="shared" si="2"/>
        <v>23320</v>
      </c>
      <c r="AE3" s="5">
        <f t="shared" si="2"/>
        <v>25200</v>
      </c>
      <c r="AF3" s="5">
        <f t="shared" si="2"/>
        <v>27300</v>
      </c>
      <c r="AG3" s="5">
        <f t="shared" si="2"/>
        <v>29660</v>
      </c>
      <c r="AH3" s="5">
        <f t="shared" si="2"/>
        <v>32160</v>
      </c>
      <c r="AI3" s="5">
        <f t="shared" si="2"/>
        <v>35060</v>
      </c>
      <c r="AJ3" s="5">
        <f t="shared" si="2"/>
        <v>38180</v>
      </c>
      <c r="AK3" s="5">
        <f t="shared" si="2"/>
        <v>41720</v>
      </c>
      <c r="AL3" s="5">
        <f t="shared" si="2"/>
        <v>45640</v>
      </c>
    </row>
    <row r="4">
      <c r="B4" s="6" t="s">
        <v>1</v>
      </c>
      <c r="C4" s="7">
        <f>Umsatz!D16</f>
        <v>120</v>
      </c>
      <c r="D4" s="7">
        <f>Umsatz!E16</f>
        <v>240</v>
      </c>
      <c r="E4" s="7">
        <f>Umsatz!F16</f>
        <v>360</v>
      </c>
      <c r="F4" s="7">
        <f>Umsatz!G16</f>
        <v>580</v>
      </c>
      <c r="G4" s="7">
        <f>Umsatz!H16</f>
        <v>820</v>
      </c>
      <c r="H4" s="7">
        <f>Umsatz!I16</f>
        <v>1060</v>
      </c>
      <c r="I4" s="7">
        <f>Umsatz!J16</f>
        <v>1320</v>
      </c>
      <c r="J4" s="7">
        <f>Umsatz!K16</f>
        <v>1600</v>
      </c>
      <c r="K4" s="7">
        <f>Umsatz!L16</f>
        <v>1880</v>
      </c>
      <c r="L4" s="7">
        <f>Umsatz!M16</f>
        <v>2200</v>
      </c>
      <c r="M4" s="7">
        <f>Umsatz!N16</f>
        <v>2520</v>
      </c>
      <c r="N4" s="7">
        <f>Umsatz!O16</f>
        <v>2860</v>
      </c>
      <c r="O4" s="7">
        <f>Umsatz!P16</f>
        <v>3220</v>
      </c>
      <c r="P4" s="7">
        <f>Umsatz!Q16</f>
        <v>3600</v>
      </c>
      <c r="Q4" s="7">
        <f>Umsatz!R16</f>
        <v>4000</v>
      </c>
      <c r="R4" s="7">
        <f>Umsatz!S16</f>
        <v>4440</v>
      </c>
      <c r="S4" s="7">
        <f>Umsatz!T16</f>
        <v>4920</v>
      </c>
      <c r="T4" s="7">
        <f>Umsatz!U16</f>
        <v>5420</v>
      </c>
      <c r="U4" s="7">
        <f>Umsatz!V16</f>
        <v>5960</v>
      </c>
      <c r="V4" s="7">
        <f>Umsatz!W16</f>
        <v>6560</v>
      </c>
      <c r="W4" s="7">
        <f>Umsatz!X16</f>
        <v>7200</v>
      </c>
      <c r="X4" s="7">
        <f>Umsatz!Y16</f>
        <v>7880</v>
      </c>
      <c r="Y4" s="7">
        <f>Umsatz!Z16</f>
        <v>8640</v>
      </c>
      <c r="Z4" s="7">
        <f>Umsatz!AA16</f>
        <v>9440</v>
      </c>
      <c r="AA4" s="7">
        <f>Umsatz!AB16</f>
        <v>10340</v>
      </c>
      <c r="AB4" s="7">
        <f>Umsatz!AC16</f>
        <v>11300</v>
      </c>
      <c r="AC4" s="7">
        <f>Umsatz!AD16</f>
        <v>12360</v>
      </c>
      <c r="AD4" s="7">
        <f>Umsatz!AE16</f>
        <v>13520</v>
      </c>
      <c r="AE4" s="7">
        <f>Umsatz!AF16</f>
        <v>14800</v>
      </c>
      <c r="AF4" s="7">
        <f>Umsatz!AG16</f>
        <v>16200</v>
      </c>
      <c r="AG4" s="7">
        <f>Umsatz!AH16</f>
        <v>17760</v>
      </c>
      <c r="AH4" s="7">
        <f>Umsatz!AI16</f>
        <v>19460</v>
      </c>
      <c r="AI4" s="7">
        <f>Umsatz!AJ16</f>
        <v>21360</v>
      </c>
      <c r="AJ4" s="7">
        <f>Umsatz!AK16</f>
        <v>23480</v>
      </c>
      <c r="AK4" s="7">
        <f>Umsatz!AL16</f>
        <v>25820</v>
      </c>
      <c r="AL4" s="7">
        <f>Umsatz!AM16</f>
        <v>28440</v>
      </c>
    </row>
    <row r="5">
      <c r="B5" s="6" t="s">
        <v>2</v>
      </c>
      <c r="C5" s="7">
        <f>Umsatz!D23</f>
        <v>100</v>
      </c>
      <c r="D5" s="7">
        <f>Umsatz!E23</f>
        <v>100</v>
      </c>
      <c r="E5" s="7">
        <f>Umsatz!F23</f>
        <v>200</v>
      </c>
      <c r="F5" s="7">
        <f>Umsatz!G23</f>
        <v>300</v>
      </c>
      <c r="G5" s="7">
        <f>Umsatz!H23</f>
        <v>400</v>
      </c>
      <c r="H5" s="7">
        <f>Umsatz!I23</f>
        <v>500</v>
      </c>
      <c r="I5" s="7">
        <f>Umsatz!J23</f>
        <v>700</v>
      </c>
      <c r="J5" s="7">
        <f>Umsatz!K23</f>
        <v>800</v>
      </c>
      <c r="K5" s="7">
        <f>Umsatz!L23</f>
        <v>900</v>
      </c>
      <c r="L5" s="7">
        <f>Umsatz!M23</f>
        <v>1100</v>
      </c>
      <c r="M5" s="7">
        <f>Umsatz!N23</f>
        <v>1300</v>
      </c>
      <c r="N5" s="7">
        <f>Umsatz!O23</f>
        <v>1400</v>
      </c>
      <c r="O5" s="7">
        <f>Umsatz!P23</f>
        <v>1600</v>
      </c>
      <c r="P5" s="7">
        <f>Umsatz!Q23</f>
        <v>1800</v>
      </c>
      <c r="Q5" s="7">
        <f>Umsatz!R23</f>
        <v>2000</v>
      </c>
      <c r="R5" s="7">
        <f>Umsatz!S23</f>
        <v>2200</v>
      </c>
      <c r="S5" s="7">
        <f>Umsatz!T23</f>
        <v>2500</v>
      </c>
      <c r="T5" s="7">
        <f>Umsatz!U23</f>
        <v>2700</v>
      </c>
      <c r="U5" s="7">
        <f>Umsatz!V23</f>
        <v>3000</v>
      </c>
      <c r="V5" s="7">
        <f>Umsatz!W23</f>
        <v>3300</v>
      </c>
      <c r="W5" s="7">
        <f>Umsatz!X23</f>
        <v>3600</v>
      </c>
      <c r="X5" s="7">
        <f>Umsatz!Y23</f>
        <v>3900</v>
      </c>
      <c r="Y5" s="7">
        <f>Umsatz!Z23</f>
        <v>4300</v>
      </c>
      <c r="Z5" s="7">
        <f>Umsatz!AA23</f>
        <v>4700</v>
      </c>
      <c r="AA5" s="7">
        <f>Umsatz!AB23</f>
        <v>5200</v>
      </c>
      <c r="AB5" s="7">
        <f>Umsatz!AC23</f>
        <v>5700</v>
      </c>
      <c r="AC5" s="7">
        <f>Umsatz!AD23</f>
        <v>6200</v>
      </c>
      <c r="AD5" s="7">
        <f>Umsatz!AE23</f>
        <v>6800</v>
      </c>
      <c r="AE5" s="7">
        <f>Umsatz!AF23</f>
        <v>7400</v>
      </c>
      <c r="AF5" s="7">
        <f>Umsatz!AG23</f>
        <v>8100</v>
      </c>
      <c r="AG5" s="7">
        <f>Umsatz!AH23</f>
        <v>8900</v>
      </c>
      <c r="AH5" s="7">
        <f>Umsatz!AI23</f>
        <v>9700</v>
      </c>
      <c r="AI5" s="7">
        <f>Umsatz!AJ23</f>
        <v>10700</v>
      </c>
      <c r="AJ5" s="7">
        <f>Umsatz!AK23</f>
        <v>11700</v>
      </c>
      <c r="AK5" s="7">
        <f>Umsatz!AL23</f>
        <v>12900</v>
      </c>
      <c r="AL5" s="7">
        <f>Umsatz!AM23</f>
        <v>14200</v>
      </c>
    </row>
    <row r="7">
      <c r="B7" s="6" t="s">
        <v>3</v>
      </c>
      <c r="C7" s="7">
        <f>Umsatz!D28</f>
        <v>0</v>
      </c>
      <c r="D7" s="7">
        <f>Umsatz!E28</f>
        <v>0</v>
      </c>
      <c r="E7" s="7">
        <f>Umsatz!F28</f>
        <v>0</v>
      </c>
      <c r="F7" s="7">
        <f>Umsatz!G28</f>
        <v>3000</v>
      </c>
      <c r="G7" s="7">
        <f>Umsatz!H28</f>
        <v>3000</v>
      </c>
      <c r="H7" s="7">
        <f>Umsatz!I28</f>
        <v>3000</v>
      </c>
      <c r="I7" s="7">
        <f>Umsatz!J28</f>
        <v>3000</v>
      </c>
      <c r="J7" s="7">
        <f>Umsatz!K28</f>
        <v>3000</v>
      </c>
      <c r="K7" s="7">
        <f>Umsatz!L28</f>
        <v>3000</v>
      </c>
      <c r="L7" s="7">
        <f>Umsatz!M28</f>
        <v>3000</v>
      </c>
      <c r="M7" s="7">
        <f>Umsatz!N28</f>
        <v>3000</v>
      </c>
      <c r="N7" s="7">
        <f>Umsatz!O28</f>
        <v>3000</v>
      </c>
      <c r="O7" s="7">
        <f>Umsatz!P28</f>
        <v>3000</v>
      </c>
      <c r="P7" s="7">
        <f>Umsatz!Q28</f>
        <v>3000</v>
      </c>
      <c r="Q7" s="7">
        <f>Umsatz!R28</f>
        <v>3000</v>
      </c>
      <c r="R7" s="7">
        <f>Umsatz!S28</f>
        <v>3000</v>
      </c>
      <c r="S7" s="7">
        <f>Umsatz!T28</f>
        <v>3000</v>
      </c>
      <c r="T7" s="7">
        <f>Umsatz!U28</f>
        <v>3000</v>
      </c>
      <c r="U7" s="7">
        <f>Umsatz!V28</f>
        <v>3000</v>
      </c>
      <c r="V7" s="7">
        <f>Umsatz!W28</f>
        <v>3000</v>
      </c>
      <c r="W7" s="7">
        <f>Umsatz!X28</f>
        <v>3000</v>
      </c>
      <c r="X7" s="7">
        <f>Umsatz!Y28</f>
        <v>3000</v>
      </c>
      <c r="Y7" s="7">
        <f>Umsatz!Z28</f>
        <v>3000</v>
      </c>
      <c r="Z7" s="7">
        <f>Umsatz!AA28</f>
        <v>3000</v>
      </c>
      <c r="AA7" s="7">
        <f>Umsatz!AB28</f>
        <v>3000</v>
      </c>
      <c r="AB7" s="7">
        <f>Umsatz!AC28</f>
        <v>3000</v>
      </c>
      <c r="AC7" s="7">
        <f>Umsatz!AD28</f>
        <v>3000</v>
      </c>
      <c r="AD7" s="7">
        <f>Umsatz!AE28</f>
        <v>3000</v>
      </c>
      <c r="AE7" s="7">
        <f>Umsatz!AF28</f>
        <v>3000</v>
      </c>
      <c r="AF7" s="7">
        <f>Umsatz!AG28</f>
        <v>3000</v>
      </c>
      <c r="AG7" s="7">
        <f>Umsatz!AH28</f>
        <v>3000</v>
      </c>
      <c r="AH7" s="7">
        <f>Umsatz!AI28</f>
        <v>3000</v>
      </c>
      <c r="AI7" s="7">
        <f>Umsatz!AJ28</f>
        <v>3000</v>
      </c>
      <c r="AJ7" s="7">
        <f>Umsatz!AK28</f>
        <v>3000</v>
      </c>
      <c r="AK7" s="7">
        <f>Umsatz!AL28</f>
        <v>3000</v>
      </c>
      <c r="AL7" s="7">
        <f>Umsatz!AM28</f>
        <v>3000</v>
      </c>
    </row>
    <row r="9">
      <c r="A9" s="3" t="s">
        <v>4</v>
      </c>
      <c r="B9" s="4"/>
      <c r="C9" s="5">
        <f>Kosten!E3</f>
        <v>-1909</v>
      </c>
      <c r="D9" s="5">
        <f>Kosten!F3</f>
        <v>-1636</v>
      </c>
      <c r="E9" s="5">
        <f>Kosten!G3</f>
        <v>-1796</v>
      </c>
      <c r="F9" s="5">
        <f>Kosten!H3</f>
        <v>-1986</v>
      </c>
      <c r="G9" s="5">
        <f>Kosten!I3</f>
        <v>-2210</v>
      </c>
      <c r="H9" s="5">
        <f>Kosten!J3</f>
        <v>-2516</v>
      </c>
      <c r="I9" s="5">
        <f>Kosten!K3</f>
        <v>-2738</v>
      </c>
      <c r="J9" s="5">
        <f>Kosten!L3</f>
        <v>-2918</v>
      </c>
      <c r="K9" s="5">
        <f>Kosten!M3</f>
        <v>-3102</v>
      </c>
      <c r="L9" s="5">
        <f>Kosten!N3</f>
        <v>-3352</v>
      </c>
      <c r="M9" s="5">
        <f>Kosten!O3</f>
        <v>-3604</v>
      </c>
      <c r="N9" s="5">
        <f>Kosten!P3</f>
        <v>-3816</v>
      </c>
      <c r="O9" s="5">
        <f>Kosten!Q3</f>
        <v>-8409</v>
      </c>
      <c r="P9" s="5">
        <f>Kosten!R3</f>
        <v>-8372</v>
      </c>
      <c r="Q9" s="5">
        <f>Kosten!S3</f>
        <v>-8668</v>
      </c>
      <c r="R9" s="5">
        <f>Kosten!T3</f>
        <v>-8982</v>
      </c>
      <c r="S9" s="5">
        <f>Kosten!U3</f>
        <v>-9368</v>
      </c>
      <c r="T9" s="5">
        <f>Kosten!V3</f>
        <v>-9716</v>
      </c>
      <c r="U9" s="5">
        <f>Kosten!W3</f>
        <v>-10136</v>
      </c>
      <c r="V9" s="5">
        <f>Kosten!X3</f>
        <v>-10584</v>
      </c>
      <c r="W9" s="5">
        <f>Kosten!Y3</f>
        <v>-11054</v>
      </c>
      <c r="X9" s="5">
        <f>Kosten!Z3</f>
        <v>-11550</v>
      </c>
      <c r="Y9" s="5">
        <f>Kosten!AA3</f>
        <v>-12134</v>
      </c>
      <c r="Z9" s="5">
        <f>Kosten!AB3</f>
        <v>-12842</v>
      </c>
      <c r="AA9" s="5">
        <f>Kosten!AC3</f>
        <v>-13771</v>
      </c>
      <c r="AB9" s="5">
        <f>Kosten!AD3</f>
        <v>-14194</v>
      </c>
      <c r="AC9" s="5">
        <f>Kosten!AE3</f>
        <v>-14992</v>
      </c>
      <c r="AD9" s="5">
        <f>Kosten!AF3</f>
        <v>-15894</v>
      </c>
      <c r="AE9" s="5">
        <f>Kosten!AG3</f>
        <v>-16862</v>
      </c>
      <c r="AF9" s="5">
        <f>Kosten!AH3</f>
        <v>-17944</v>
      </c>
      <c r="AG9" s="5">
        <f>Kosten!AI3</f>
        <v>-19160</v>
      </c>
      <c r="AH9" s="5">
        <f>Kosten!AJ3</f>
        <v>-20456</v>
      </c>
      <c r="AI9" s="5">
        <f>Kosten!AK3</f>
        <v>-21964</v>
      </c>
      <c r="AJ9" s="5">
        <f>Kosten!AL3</f>
        <v>-23594</v>
      </c>
      <c r="AK9" s="5">
        <f>Kosten!AM3</f>
        <v>-24248</v>
      </c>
      <c r="AL9" s="5">
        <f>Kosten!AN3</f>
        <v>-26406</v>
      </c>
    </row>
    <row r="10">
      <c r="B10" s="6" t="s">
        <v>5</v>
      </c>
      <c r="C10" s="7">
        <f>Kosten!E41</f>
        <v>-40</v>
      </c>
      <c r="D10" s="7">
        <f>Kosten!F41</f>
        <v>-40</v>
      </c>
      <c r="E10" s="7">
        <f>Kosten!G41</f>
        <v>-40</v>
      </c>
      <c r="F10" s="7">
        <f>Kosten!H41</f>
        <v>-40</v>
      </c>
      <c r="G10" s="7">
        <f>Kosten!I41</f>
        <v>-40</v>
      </c>
      <c r="H10" s="7">
        <f>Kosten!J41</f>
        <v>-40</v>
      </c>
      <c r="I10" s="7">
        <f>Kosten!K41</f>
        <v>-40</v>
      </c>
      <c r="J10" s="7">
        <f>Kosten!L41</f>
        <v>-40</v>
      </c>
      <c r="K10" s="7">
        <f>Kosten!M41</f>
        <v>-40</v>
      </c>
      <c r="L10" s="7">
        <f>Kosten!N41</f>
        <v>-40</v>
      </c>
      <c r="M10" s="7">
        <f>Kosten!O41</f>
        <v>-40</v>
      </c>
      <c r="N10" s="7">
        <f>Kosten!P41</f>
        <v>-40</v>
      </c>
      <c r="O10" s="7">
        <f>Kosten!Q41</f>
        <v>-40</v>
      </c>
      <c r="P10" s="7">
        <f>Kosten!R41</f>
        <v>-40</v>
      </c>
      <c r="Q10" s="7">
        <f>Kosten!S41</f>
        <v>-40</v>
      </c>
      <c r="R10" s="7">
        <f>Kosten!T41</f>
        <v>-40</v>
      </c>
      <c r="S10" s="7">
        <f>Kosten!U41</f>
        <v>-40</v>
      </c>
      <c r="T10" s="7">
        <f>Kosten!V41</f>
        <v>-40</v>
      </c>
      <c r="U10" s="7">
        <f>Kosten!W41</f>
        <v>-40</v>
      </c>
      <c r="V10" s="7">
        <f>Kosten!X41</f>
        <v>-40</v>
      </c>
      <c r="W10" s="7">
        <f>Kosten!Y41</f>
        <v>-40</v>
      </c>
      <c r="X10" s="7">
        <f>Kosten!Z41</f>
        <v>-40</v>
      </c>
      <c r="Y10" s="7">
        <f>Kosten!AA41</f>
        <v>-40</v>
      </c>
      <c r="Z10" s="7">
        <f>Kosten!AB41</f>
        <v>-40</v>
      </c>
      <c r="AA10" s="7">
        <f>Kosten!AC41</f>
        <v>-40</v>
      </c>
      <c r="AB10" s="7">
        <f>Kosten!AD41</f>
        <v>-40</v>
      </c>
      <c r="AC10" s="7">
        <f>Kosten!AE41</f>
        <v>-40</v>
      </c>
      <c r="AD10" s="7">
        <f>Kosten!AF41</f>
        <v>-40</v>
      </c>
      <c r="AE10" s="7">
        <f>Kosten!AG41</f>
        <v>-40</v>
      </c>
      <c r="AF10" s="7">
        <f>Kosten!AH41</f>
        <v>-40</v>
      </c>
      <c r="AG10" s="7">
        <f>Kosten!AI41</f>
        <v>-40</v>
      </c>
      <c r="AH10" s="7">
        <f>Kosten!AJ41</f>
        <v>-40</v>
      </c>
      <c r="AI10" s="7">
        <f>Kosten!AK41</f>
        <v>-40</v>
      </c>
      <c r="AJ10" s="7">
        <f>Kosten!AL41</f>
        <v>-40</v>
      </c>
      <c r="AK10" s="7">
        <f>Kosten!AM41</f>
        <v>-40</v>
      </c>
      <c r="AL10" s="7">
        <f>Kosten!AN41</f>
        <v>-40</v>
      </c>
    </row>
    <row r="12">
      <c r="A12" s="8"/>
      <c r="B12" s="9" t="s">
        <v>6</v>
      </c>
      <c r="C12" s="10">
        <f t="shared" ref="C12:T12" si="3">SUM(C13:C14)</f>
        <v>-258</v>
      </c>
      <c r="D12" s="10">
        <f t="shared" si="3"/>
        <v>-366</v>
      </c>
      <c r="E12" s="10">
        <f t="shared" si="3"/>
        <v>-526</v>
      </c>
      <c r="F12" s="10">
        <f t="shared" si="3"/>
        <v>-716</v>
      </c>
      <c r="G12" s="10">
        <f t="shared" si="3"/>
        <v>-940</v>
      </c>
      <c r="H12" s="10">
        <f t="shared" si="3"/>
        <v>-1246</v>
      </c>
      <c r="I12" s="10">
        <f t="shared" si="3"/>
        <v>-1468</v>
      </c>
      <c r="J12" s="10">
        <f t="shared" si="3"/>
        <v>-1648</v>
      </c>
      <c r="K12" s="10">
        <f t="shared" si="3"/>
        <v>-1832</v>
      </c>
      <c r="L12" s="10">
        <f t="shared" si="3"/>
        <v>-2082</v>
      </c>
      <c r="M12" s="10">
        <f t="shared" si="3"/>
        <v>-2334</v>
      </c>
      <c r="N12" s="10">
        <f t="shared" si="3"/>
        <v>-2546</v>
      </c>
      <c r="O12" s="10">
        <f t="shared" si="3"/>
        <v>-2818</v>
      </c>
      <c r="P12" s="10">
        <f t="shared" si="3"/>
        <v>-3102</v>
      </c>
      <c r="Q12" s="10">
        <f t="shared" si="3"/>
        <v>-3398</v>
      </c>
      <c r="R12" s="10">
        <f t="shared" si="3"/>
        <v>-3712</v>
      </c>
      <c r="S12" s="10">
        <f t="shared" si="3"/>
        <v>-4098</v>
      </c>
      <c r="T12" s="10">
        <f t="shared" si="3"/>
        <v>-4446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>
      <c r="B13" s="6" t="s">
        <v>7</v>
      </c>
      <c r="C13" s="7">
        <f>Kosten!E5</f>
        <v>-158</v>
      </c>
      <c r="D13" s="7">
        <f>Kosten!F5</f>
        <v>-266</v>
      </c>
      <c r="E13" s="7">
        <f>Kosten!G5</f>
        <v>-426</v>
      </c>
      <c r="F13" s="7">
        <f>Kosten!H5</f>
        <v>-616</v>
      </c>
      <c r="G13" s="7">
        <f>Kosten!I5</f>
        <v>-820</v>
      </c>
      <c r="H13" s="7">
        <f>Kosten!J5</f>
        <v>-1026</v>
      </c>
      <c r="I13" s="7">
        <f>Kosten!K5</f>
        <v>-1248</v>
      </c>
      <c r="J13" s="7">
        <f>Kosten!L5</f>
        <v>-1428</v>
      </c>
      <c r="K13" s="7">
        <f>Kosten!M5</f>
        <v>-1612</v>
      </c>
      <c r="L13" s="7">
        <f>Kosten!N5</f>
        <v>-1862</v>
      </c>
      <c r="M13" s="7">
        <f>Kosten!O5</f>
        <v>-2114</v>
      </c>
      <c r="N13" s="7">
        <f>Kosten!P5</f>
        <v>-2326</v>
      </c>
      <c r="O13" s="7">
        <f>Kosten!Q5</f>
        <v>-2598</v>
      </c>
      <c r="P13" s="7">
        <f>Kosten!R5</f>
        <v>-2882</v>
      </c>
      <c r="Q13" s="7">
        <f>Kosten!S5</f>
        <v>-3178</v>
      </c>
      <c r="R13" s="7">
        <f>Kosten!T5</f>
        <v>-3492</v>
      </c>
      <c r="S13" s="7">
        <f>Kosten!U5</f>
        <v>-3878</v>
      </c>
      <c r="T13" s="7">
        <f>Kosten!V5</f>
        <v>-4226</v>
      </c>
      <c r="U13" s="7">
        <f>Kosten!W5</f>
        <v>-4646</v>
      </c>
      <c r="V13" s="7">
        <f>Kosten!X5</f>
        <v>-5094</v>
      </c>
      <c r="W13" s="7">
        <f>Kosten!Y5</f>
        <v>-5564</v>
      </c>
      <c r="X13" s="7">
        <f>Kosten!Z5</f>
        <v>-6060</v>
      </c>
      <c r="Y13" s="7">
        <f>Kosten!AA5</f>
        <v>-6644</v>
      </c>
      <c r="Z13" s="7">
        <f>Kosten!AB5</f>
        <v>-7252</v>
      </c>
      <c r="AA13" s="7">
        <f>Kosten!AC5</f>
        <v>-7960</v>
      </c>
      <c r="AB13" s="7">
        <f>Kosten!AD5</f>
        <v>-8704</v>
      </c>
      <c r="AC13" s="7">
        <f>Kosten!AE5</f>
        <v>-9502</v>
      </c>
      <c r="AD13" s="7">
        <f>Kosten!AF5</f>
        <v>-10404</v>
      </c>
      <c r="AE13" s="7">
        <f>Kosten!AG5</f>
        <v>-11372</v>
      </c>
      <c r="AF13" s="7">
        <f>Kosten!AH5</f>
        <v>-12454</v>
      </c>
      <c r="AG13" s="7">
        <f>Kosten!AI5</f>
        <v>-13670</v>
      </c>
      <c r="AH13" s="7">
        <f>Kosten!AJ5</f>
        <v>-14966</v>
      </c>
      <c r="AI13" s="7">
        <f>Kosten!AK5</f>
        <v>-16474</v>
      </c>
      <c r="AJ13" s="7">
        <f>Kosten!AL5</f>
        <v>-18104</v>
      </c>
      <c r="AK13" s="7">
        <f>Kosten!AM5</f>
        <v>-19958</v>
      </c>
      <c r="AL13" s="7">
        <f>Kosten!AN5</f>
        <v>-22016</v>
      </c>
    </row>
    <row r="14">
      <c r="B14" s="6" t="s">
        <v>8</v>
      </c>
      <c r="C14" s="7">
        <f>Kosten!E23</f>
        <v>-100</v>
      </c>
      <c r="D14" s="7">
        <f>Kosten!F23</f>
        <v>-100</v>
      </c>
      <c r="E14" s="7">
        <f>Kosten!G23</f>
        <v>-100</v>
      </c>
      <c r="F14" s="7">
        <f>Kosten!H23</f>
        <v>-100</v>
      </c>
      <c r="G14" s="7">
        <f>Kosten!I23</f>
        <v>-120</v>
      </c>
      <c r="H14" s="7">
        <f>Kosten!J23</f>
        <v>-220</v>
      </c>
      <c r="I14" s="7">
        <f>Kosten!K23</f>
        <v>-220</v>
      </c>
      <c r="J14" s="7">
        <f>Kosten!L23</f>
        <v>-220</v>
      </c>
      <c r="K14" s="7">
        <f>Kosten!M23</f>
        <v>-220</v>
      </c>
      <c r="L14" s="7">
        <f>Kosten!N23</f>
        <v>-220</v>
      </c>
      <c r="M14" s="7">
        <f>Kosten!O23</f>
        <v>-220</v>
      </c>
      <c r="N14" s="7">
        <f>Kosten!P23</f>
        <v>-220</v>
      </c>
      <c r="O14" s="7">
        <f>Kosten!Q23</f>
        <v>-220</v>
      </c>
      <c r="P14" s="7">
        <f>Kosten!R23</f>
        <v>-220</v>
      </c>
      <c r="Q14" s="7">
        <f>Kosten!S23</f>
        <v>-220</v>
      </c>
      <c r="R14" s="7">
        <f>Kosten!T23</f>
        <v>-220</v>
      </c>
      <c r="S14" s="7">
        <f>Kosten!U23</f>
        <v>-220</v>
      </c>
      <c r="T14" s="7">
        <f>Kosten!V23</f>
        <v>-220</v>
      </c>
      <c r="U14" s="7">
        <f>Kosten!W23</f>
        <v>-220</v>
      </c>
      <c r="V14" s="7">
        <f>Kosten!X23</f>
        <v>-220</v>
      </c>
      <c r="W14" s="7">
        <f>Kosten!Y23</f>
        <v>-220</v>
      </c>
      <c r="X14" s="7">
        <f>Kosten!Z23</f>
        <v>-220</v>
      </c>
      <c r="Y14" s="7">
        <f>Kosten!AA23</f>
        <v>-220</v>
      </c>
      <c r="Z14" s="7">
        <f>Kosten!AB23</f>
        <v>-220</v>
      </c>
      <c r="AA14" s="7">
        <f>Kosten!AC23</f>
        <v>-220</v>
      </c>
      <c r="AB14" s="7">
        <f>Kosten!AD23</f>
        <v>-220</v>
      </c>
      <c r="AC14" s="7">
        <f>Kosten!AE23</f>
        <v>-220</v>
      </c>
      <c r="AD14" s="7">
        <f>Kosten!AF23</f>
        <v>-220</v>
      </c>
      <c r="AE14" s="7">
        <f>Kosten!AG23</f>
        <v>-220</v>
      </c>
      <c r="AF14" s="7">
        <f>Kosten!AH23</f>
        <v>-220</v>
      </c>
      <c r="AG14" s="7">
        <f>Kosten!AI23</f>
        <v>-220</v>
      </c>
      <c r="AH14" s="7">
        <f>Kosten!AJ23</f>
        <v>-220</v>
      </c>
      <c r="AI14" s="7">
        <f>Kosten!AK23</f>
        <v>-220</v>
      </c>
      <c r="AJ14" s="7">
        <f>Kosten!AL23</f>
        <v>-220</v>
      </c>
      <c r="AK14" s="7">
        <f>Kosten!AM23</f>
        <v>-220</v>
      </c>
      <c r="AL14" s="7">
        <f>Kosten!AN23</f>
        <v>-220</v>
      </c>
    </row>
    <row r="16">
      <c r="A16" s="8"/>
      <c r="B16" s="9" t="s">
        <v>9</v>
      </c>
      <c r="C16" s="10">
        <f t="shared" ref="C16:T16" si="4">SUM(C13:C15)</f>
        <v>-258</v>
      </c>
      <c r="D16" s="10">
        <f t="shared" si="4"/>
        <v>-366</v>
      </c>
      <c r="E16" s="10">
        <f t="shared" si="4"/>
        <v>-526</v>
      </c>
      <c r="F16" s="10">
        <f t="shared" si="4"/>
        <v>-716</v>
      </c>
      <c r="G16" s="10">
        <f t="shared" si="4"/>
        <v>-940</v>
      </c>
      <c r="H16" s="10">
        <f t="shared" si="4"/>
        <v>-1246</v>
      </c>
      <c r="I16" s="10">
        <f t="shared" si="4"/>
        <v>-1468</v>
      </c>
      <c r="J16" s="10">
        <f t="shared" si="4"/>
        <v>-1648</v>
      </c>
      <c r="K16" s="10">
        <f t="shared" si="4"/>
        <v>-1832</v>
      </c>
      <c r="L16" s="10">
        <f t="shared" si="4"/>
        <v>-2082</v>
      </c>
      <c r="M16" s="10">
        <f t="shared" si="4"/>
        <v>-2334</v>
      </c>
      <c r="N16" s="10">
        <f t="shared" si="4"/>
        <v>-2546</v>
      </c>
      <c r="O16" s="10">
        <f t="shared" si="4"/>
        <v>-2818</v>
      </c>
      <c r="P16" s="10">
        <f t="shared" si="4"/>
        <v>-3102</v>
      </c>
      <c r="Q16" s="10">
        <f t="shared" si="4"/>
        <v>-3398</v>
      </c>
      <c r="R16" s="10">
        <f t="shared" si="4"/>
        <v>-3712</v>
      </c>
      <c r="S16" s="10">
        <f t="shared" si="4"/>
        <v>-4098</v>
      </c>
      <c r="T16" s="10">
        <f t="shared" si="4"/>
        <v>-4446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>
      <c r="B17" s="6" t="str">
        <f>Kosten!A16</f>
        <v>Produktentwicklung</v>
      </c>
      <c r="C17" s="7">
        <f>Kosten!E16</f>
        <v>-1200</v>
      </c>
      <c r="D17" s="7">
        <f>Kosten!F16</f>
        <v>-1200</v>
      </c>
      <c r="E17" s="7">
        <f>Kosten!G16</f>
        <v>-1200</v>
      </c>
      <c r="F17" s="7">
        <f>Kosten!H16</f>
        <v>-1200</v>
      </c>
      <c r="G17" s="7">
        <f>Kosten!I16</f>
        <v>-1200</v>
      </c>
      <c r="H17" s="7">
        <f>Kosten!J16</f>
        <v>-1200</v>
      </c>
      <c r="I17" s="7">
        <f>Kosten!K16</f>
        <v>-1200</v>
      </c>
      <c r="J17" s="7">
        <f>Kosten!L16</f>
        <v>-1200</v>
      </c>
      <c r="K17" s="7">
        <f>Kosten!M16</f>
        <v>-1200</v>
      </c>
      <c r="L17" s="7">
        <f>Kosten!N16</f>
        <v>-1200</v>
      </c>
      <c r="M17" s="7">
        <f>Kosten!O16</f>
        <v>-1200</v>
      </c>
      <c r="N17" s="7">
        <f>Kosten!P16</f>
        <v>-1200</v>
      </c>
      <c r="O17" s="7">
        <f>Kosten!Q16</f>
        <v>-1200</v>
      </c>
      <c r="P17" s="7">
        <f>Kosten!R16</f>
        <v>-1200</v>
      </c>
      <c r="Q17" s="7">
        <f>Kosten!S16</f>
        <v>-1200</v>
      </c>
      <c r="R17" s="7">
        <f>Kosten!T16</f>
        <v>-1200</v>
      </c>
      <c r="S17" s="7">
        <f>Kosten!U16</f>
        <v>-1200</v>
      </c>
      <c r="T17" s="7">
        <f>Kosten!V16</f>
        <v>-1200</v>
      </c>
      <c r="U17" s="7">
        <f>Kosten!W16</f>
        <v>-1200</v>
      </c>
      <c r="V17" s="7">
        <f>Kosten!X16</f>
        <v>-1200</v>
      </c>
      <c r="W17" s="7">
        <f>Kosten!Y16</f>
        <v>-1200</v>
      </c>
      <c r="X17" s="7">
        <f>Kosten!Z16</f>
        <v>-1200</v>
      </c>
      <c r="Y17" s="7">
        <f>Kosten!AA16</f>
        <v>-1200</v>
      </c>
      <c r="Z17" s="7">
        <f>Kosten!AB16</f>
        <v>-1200</v>
      </c>
      <c r="AA17" s="7">
        <f>Kosten!AC16</f>
        <v>-1200</v>
      </c>
      <c r="AB17" s="7">
        <f>Kosten!AD16</f>
        <v>-1200</v>
      </c>
      <c r="AC17" s="7">
        <f>Kosten!AE16</f>
        <v>-1200</v>
      </c>
      <c r="AD17" s="7">
        <f>Kosten!AF16</f>
        <v>-1200</v>
      </c>
      <c r="AE17" s="7">
        <f>Kosten!AG16</f>
        <v>-1200</v>
      </c>
      <c r="AF17" s="7">
        <f>Kosten!AH16</f>
        <v>-1200</v>
      </c>
      <c r="AG17" s="7">
        <f>Kosten!AI16</f>
        <v>-1200</v>
      </c>
      <c r="AH17" s="7">
        <f>Kosten!AJ16</f>
        <v>-1200</v>
      </c>
      <c r="AI17" s="7">
        <f>Kosten!AK16</f>
        <v>-1200</v>
      </c>
      <c r="AJ17" s="7">
        <f>Kosten!AL16</f>
        <v>-1200</v>
      </c>
      <c r="AK17" s="7" t="str">
        <f>Kosten!AM16</f>
        <v/>
      </c>
      <c r="AL17" s="7" t="str">
        <f>Kosten!AN16</f>
        <v/>
      </c>
    </row>
    <row r="18">
      <c r="B18" s="6" t="str">
        <f>Kosten!A27</f>
        <v>Administrative Kosten</v>
      </c>
      <c r="C18" s="7">
        <f>Kosten!E27</f>
        <v>-411</v>
      </c>
      <c r="D18" s="7">
        <f>Kosten!F27</f>
        <v>-30</v>
      </c>
      <c r="E18" s="7">
        <f>Kosten!G27</f>
        <v>-30</v>
      </c>
      <c r="F18" s="7">
        <f>Kosten!H27</f>
        <v>-30</v>
      </c>
      <c r="G18" s="7">
        <f>Kosten!I27</f>
        <v>-30</v>
      </c>
      <c r="H18" s="7">
        <f>Kosten!J27</f>
        <v>-30</v>
      </c>
      <c r="I18" s="7">
        <f>Kosten!K27</f>
        <v>-30</v>
      </c>
      <c r="J18" s="7">
        <f>Kosten!L27</f>
        <v>-30</v>
      </c>
      <c r="K18" s="7">
        <f>Kosten!M27</f>
        <v>-30</v>
      </c>
      <c r="L18" s="7">
        <f>Kosten!N27</f>
        <v>-30</v>
      </c>
      <c r="M18" s="7">
        <f>Kosten!O27</f>
        <v>-30</v>
      </c>
      <c r="N18" s="7">
        <f>Kosten!P27</f>
        <v>-30</v>
      </c>
      <c r="O18" s="7">
        <f>Kosten!Q27</f>
        <v>-4351</v>
      </c>
      <c r="P18" s="7">
        <f>Kosten!R27</f>
        <v>-4030</v>
      </c>
      <c r="Q18" s="7">
        <f>Kosten!S27</f>
        <v>-4030</v>
      </c>
      <c r="R18" s="7">
        <f>Kosten!T27</f>
        <v>-4030</v>
      </c>
      <c r="S18" s="7">
        <f>Kosten!U27</f>
        <v>-4030</v>
      </c>
      <c r="T18" s="7">
        <f>Kosten!V27</f>
        <v>-4030</v>
      </c>
      <c r="U18" s="7">
        <f>Kosten!W27</f>
        <v>-4030</v>
      </c>
      <c r="V18" s="7">
        <f>Kosten!X27</f>
        <v>-4030</v>
      </c>
      <c r="W18" s="7">
        <f>Kosten!Y27</f>
        <v>-4030</v>
      </c>
      <c r="X18" s="7">
        <f>Kosten!Z27</f>
        <v>-4030</v>
      </c>
      <c r="Y18" s="7">
        <f>Kosten!AA27</f>
        <v>-4030</v>
      </c>
      <c r="Z18" s="7">
        <f>Kosten!AB27</f>
        <v>-4130</v>
      </c>
      <c r="AA18" s="7">
        <f>Kosten!AC27</f>
        <v>-4351</v>
      </c>
      <c r="AB18" s="7">
        <f>Kosten!AD27</f>
        <v>-4030</v>
      </c>
      <c r="AC18" s="7">
        <f>Kosten!AE27</f>
        <v>-4030</v>
      </c>
      <c r="AD18" s="7">
        <f>Kosten!AF27</f>
        <v>-4030</v>
      </c>
      <c r="AE18" s="7">
        <f>Kosten!AG27</f>
        <v>-4030</v>
      </c>
      <c r="AF18" s="7">
        <f>Kosten!AH27</f>
        <v>-4030</v>
      </c>
      <c r="AG18" s="7">
        <f>Kosten!AI27</f>
        <v>-4030</v>
      </c>
      <c r="AH18" s="7">
        <f>Kosten!AJ27</f>
        <v>-4030</v>
      </c>
      <c r="AI18" s="7">
        <f>Kosten!AK27</f>
        <v>-4030</v>
      </c>
      <c r="AJ18" s="7">
        <f>Kosten!AL27</f>
        <v>-4030</v>
      </c>
      <c r="AK18" s="7">
        <f>Kosten!AM27</f>
        <v>-4030</v>
      </c>
      <c r="AL18" s="7">
        <f>Kosten!AN27</f>
        <v>-4130</v>
      </c>
    </row>
    <row r="20">
      <c r="A20" s="8"/>
      <c r="B20" s="9" t="s">
        <v>9</v>
      </c>
    </row>
    <row r="23">
      <c r="A23" s="11" t="s">
        <v>10</v>
      </c>
      <c r="B23" s="12"/>
      <c r="C23" s="13">
        <f t="shared" ref="C23:AL23" si="5">C3+C9</f>
        <v>-1689</v>
      </c>
      <c r="D23" s="13">
        <f t="shared" si="5"/>
        <v>-1296</v>
      </c>
      <c r="E23" s="13">
        <f t="shared" si="5"/>
        <v>-1236</v>
      </c>
      <c r="F23" s="13">
        <f t="shared" si="5"/>
        <v>1894</v>
      </c>
      <c r="G23" s="13">
        <f t="shared" si="5"/>
        <v>2010</v>
      </c>
      <c r="H23" s="13">
        <f t="shared" si="5"/>
        <v>2044</v>
      </c>
      <c r="I23" s="13">
        <f t="shared" si="5"/>
        <v>2282</v>
      </c>
      <c r="J23" s="13">
        <f t="shared" si="5"/>
        <v>2482</v>
      </c>
      <c r="K23" s="13">
        <f t="shared" si="5"/>
        <v>2678</v>
      </c>
      <c r="L23" s="13">
        <f t="shared" si="5"/>
        <v>2948</v>
      </c>
      <c r="M23" s="13">
        <f t="shared" si="5"/>
        <v>3216</v>
      </c>
      <c r="N23" s="13">
        <f t="shared" si="5"/>
        <v>3444</v>
      </c>
      <c r="O23" s="13">
        <f t="shared" si="5"/>
        <v>-589</v>
      </c>
      <c r="P23" s="13">
        <f t="shared" si="5"/>
        <v>28</v>
      </c>
      <c r="Q23" s="13">
        <f t="shared" si="5"/>
        <v>332</v>
      </c>
      <c r="R23" s="13">
        <f t="shared" si="5"/>
        <v>658</v>
      </c>
      <c r="S23" s="13">
        <f t="shared" si="5"/>
        <v>1052</v>
      </c>
      <c r="T23" s="13">
        <f t="shared" si="5"/>
        <v>1404</v>
      </c>
      <c r="U23" s="13">
        <f t="shared" si="5"/>
        <v>1824</v>
      </c>
      <c r="V23" s="13">
        <f t="shared" si="5"/>
        <v>2276</v>
      </c>
      <c r="W23" s="13">
        <f t="shared" si="5"/>
        <v>2746</v>
      </c>
      <c r="X23" s="13">
        <f t="shared" si="5"/>
        <v>3230</v>
      </c>
      <c r="Y23" s="13">
        <f t="shared" si="5"/>
        <v>3806</v>
      </c>
      <c r="Z23" s="13">
        <f t="shared" si="5"/>
        <v>4298</v>
      </c>
      <c r="AA23" s="13">
        <f t="shared" si="5"/>
        <v>4769</v>
      </c>
      <c r="AB23" s="13">
        <f t="shared" si="5"/>
        <v>5806</v>
      </c>
      <c r="AC23" s="13">
        <f t="shared" si="5"/>
        <v>6568</v>
      </c>
      <c r="AD23" s="13">
        <f t="shared" si="5"/>
        <v>7426</v>
      </c>
      <c r="AE23" s="13">
        <f t="shared" si="5"/>
        <v>8338</v>
      </c>
      <c r="AF23" s="13">
        <f t="shared" si="5"/>
        <v>9356</v>
      </c>
      <c r="AG23" s="13">
        <f t="shared" si="5"/>
        <v>10500</v>
      </c>
      <c r="AH23" s="13">
        <f t="shared" si="5"/>
        <v>11704</v>
      </c>
      <c r="AI23" s="13">
        <f t="shared" si="5"/>
        <v>13096</v>
      </c>
      <c r="AJ23" s="13">
        <f t="shared" si="5"/>
        <v>14586</v>
      </c>
      <c r="AK23" s="13">
        <f t="shared" si="5"/>
        <v>17472</v>
      </c>
      <c r="AL23" s="13">
        <f t="shared" si="5"/>
        <v>19234</v>
      </c>
    </row>
    <row r="25">
      <c r="A25" s="6" t="s">
        <v>11</v>
      </c>
      <c r="C25" s="7">
        <f>SUM(C23:H23)</f>
        <v>1727</v>
      </c>
    </row>
    <row r="27">
      <c r="A27" s="3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>
      <c r="C28" s="14"/>
      <c r="D28" s="14"/>
      <c r="E28" s="14"/>
      <c r="F28" s="14"/>
      <c r="G28" s="14"/>
      <c r="H28" s="1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>
      <c r="A31" s="6" t="s">
        <v>12</v>
      </c>
      <c r="C31" s="7">
        <f t="shared" ref="C31:AL31" si="6">C27+C23</f>
        <v>-1689</v>
      </c>
      <c r="D31" s="7">
        <f t="shared" si="6"/>
        <v>-1296</v>
      </c>
      <c r="E31" s="7">
        <f t="shared" si="6"/>
        <v>-1236</v>
      </c>
      <c r="F31" s="7">
        <f t="shared" si="6"/>
        <v>1894</v>
      </c>
      <c r="G31" s="7">
        <f t="shared" si="6"/>
        <v>2010</v>
      </c>
      <c r="H31" s="7">
        <f t="shared" si="6"/>
        <v>2044</v>
      </c>
      <c r="I31" s="7">
        <f t="shared" si="6"/>
        <v>2282</v>
      </c>
      <c r="J31" s="7">
        <f t="shared" si="6"/>
        <v>2482</v>
      </c>
      <c r="K31" s="7">
        <f t="shared" si="6"/>
        <v>2678</v>
      </c>
      <c r="L31" s="7">
        <f t="shared" si="6"/>
        <v>2948</v>
      </c>
      <c r="M31" s="7">
        <f t="shared" si="6"/>
        <v>3216</v>
      </c>
      <c r="N31" s="7">
        <f t="shared" si="6"/>
        <v>3444</v>
      </c>
      <c r="O31" s="7">
        <f t="shared" si="6"/>
        <v>-589</v>
      </c>
      <c r="P31" s="7">
        <f t="shared" si="6"/>
        <v>28</v>
      </c>
      <c r="Q31" s="7">
        <f t="shared" si="6"/>
        <v>332</v>
      </c>
      <c r="R31" s="7">
        <f t="shared" si="6"/>
        <v>658</v>
      </c>
      <c r="S31" s="7">
        <f t="shared" si="6"/>
        <v>1052</v>
      </c>
      <c r="T31" s="7">
        <f t="shared" si="6"/>
        <v>1404</v>
      </c>
      <c r="U31" s="7">
        <f t="shared" si="6"/>
        <v>1824</v>
      </c>
      <c r="V31" s="7">
        <f t="shared" si="6"/>
        <v>2276</v>
      </c>
      <c r="W31" s="7">
        <f t="shared" si="6"/>
        <v>2746</v>
      </c>
      <c r="X31" s="7">
        <f t="shared" si="6"/>
        <v>3230</v>
      </c>
      <c r="Y31" s="7">
        <f t="shared" si="6"/>
        <v>3806</v>
      </c>
      <c r="Z31" s="7">
        <f t="shared" si="6"/>
        <v>4298</v>
      </c>
      <c r="AA31" s="7">
        <f t="shared" si="6"/>
        <v>4769</v>
      </c>
      <c r="AB31" s="7">
        <f t="shared" si="6"/>
        <v>5806</v>
      </c>
      <c r="AC31" s="7">
        <f t="shared" si="6"/>
        <v>6568</v>
      </c>
      <c r="AD31" s="7">
        <f t="shared" si="6"/>
        <v>7426</v>
      </c>
      <c r="AE31" s="7">
        <f t="shared" si="6"/>
        <v>8338</v>
      </c>
      <c r="AF31" s="7">
        <f t="shared" si="6"/>
        <v>9356</v>
      </c>
      <c r="AG31" s="7">
        <f t="shared" si="6"/>
        <v>10500</v>
      </c>
      <c r="AH31" s="7">
        <f t="shared" si="6"/>
        <v>11704</v>
      </c>
      <c r="AI31" s="7">
        <f t="shared" si="6"/>
        <v>13096</v>
      </c>
      <c r="AJ31" s="7">
        <f t="shared" si="6"/>
        <v>14586</v>
      </c>
      <c r="AK31" s="7">
        <f t="shared" si="6"/>
        <v>17472</v>
      </c>
      <c r="AL31" s="7">
        <f t="shared" si="6"/>
        <v>19234</v>
      </c>
    </row>
    <row r="33">
      <c r="A33" s="6" t="s">
        <v>13</v>
      </c>
      <c r="C33" s="7">
        <f>SUM(C31:H31)</f>
        <v>1727</v>
      </c>
    </row>
    <row r="34">
      <c r="A34" s="6" t="s">
        <v>14</v>
      </c>
      <c r="C34" s="15">
        <f>SUM(I31:N31)</f>
        <v>17050</v>
      </c>
    </row>
    <row r="35">
      <c r="A35" s="6" t="s">
        <v>15</v>
      </c>
      <c r="C35" s="16">
        <v>4000.0</v>
      </c>
    </row>
    <row r="38">
      <c r="A38" s="17" t="s">
        <v>16</v>
      </c>
      <c r="B38" s="17"/>
    </row>
    <row r="39">
      <c r="A39" s="6" t="s">
        <v>17</v>
      </c>
      <c r="B39" s="6"/>
    </row>
    <row r="40">
      <c r="A40" s="9" t="s">
        <v>18</v>
      </c>
      <c r="B40" s="9"/>
    </row>
    <row r="41">
      <c r="A41" s="18" t="s">
        <v>19</v>
      </c>
      <c r="B41" s="18"/>
    </row>
    <row r="42">
      <c r="A42" s="19" t="s">
        <v>20</v>
      </c>
      <c r="B42" s="19"/>
    </row>
    <row r="43">
      <c r="A43" s="20" t="s">
        <v>21</v>
      </c>
      <c r="B43" s="20"/>
    </row>
    <row r="44">
      <c r="A44" s="21" t="s">
        <v>22</v>
      </c>
      <c r="B44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3.25"/>
    <col customWidth="1" min="3" max="3" width="12.13"/>
    <col customWidth="1" min="4" max="4" width="7.0"/>
    <col customWidth="1" min="5" max="6" width="6.25"/>
    <col customWidth="1" min="7" max="19" width="7.63"/>
    <col customWidth="1" min="20" max="39" width="8.5"/>
  </cols>
  <sheetData>
    <row r="1">
      <c r="D1" s="1">
        <v>46112.0</v>
      </c>
      <c r="E1" s="2">
        <f t="shared" ref="E1:AM1" si="1">EOMONTH(D1,1)</f>
        <v>46142</v>
      </c>
      <c r="F1" s="2">
        <f t="shared" si="1"/>
        <v>46173</v>
      </c>
      <c r="G1" s="2">
        <f t="shared" si="1"/>
        <v>46203</v>
      </c>
      <c r="H1" s="2">
        <f t="shared" si="1"/>
        <v>46234</v>
      </c>
      <c r="I1" s="2">
        <f t="shared" si="1"/>
        <v>46265</v>
      </c>
      <c r="J1" s="2">
        <f t="shared" si="1"/>
        <v>46295</v>
      </c>
      <c r="K1" s="2">
        <f t="shared" si="1"/>
        <v>46326</v>
      </c>
      <c r="L1" s="2">
        <f t="shared" si="1"/>
        <v>46356</v>
      </c>
      <c r="M1" s="2">
        <f t="shared" si="1"/>
        <v>46387</v>
      </c>
      <c r="N1" s="2">
        <f t="shared" si="1"/>
        <v>46418</v>
      </c>
      <c r="O1" s="2">
        <f t="shared" si="1"/>
        <v>46446</v>
      </c>
      <c r="P1" s="2">
        <f t="shared" si="1"/>
        <v>46477</v>
      </c>
      <c r="Q1" s="2">
        <f t="shared" si="1"/>
        <v>46507</v>
      </c>
      <c r="R1" s="2">
        <f t="shared" si="1"/>
        <v>46538</v>
      </c>
      <c r="S1" s="2">
        <f t="shared" si="1"/>
        <v>46568</v>
      </c>
      <c r="T1" s="2">
        <f t="shared" si="1"/>
        <v>46599</v>
      </c>
      <c r="U1" s="2">
        <f t="shared" si="1"/>
        <v>46630</v>
      </c>
      <c r="V1" s="2">
        <f t="shared" si="1"/>
        <v>46660</v>
      </c>
      <c r="W1" s="2">
        <f t="shared" si="1"/>
        <v>46691</v>
      </c>
      <c r="X1" s="2">
        <f t="shared" si="1"/>
        <v>46721</v>
      </c>
      <c r="Y1" s="2">
        <f t="shared" si="1"/>
        <v>46752</v>
      </c>
      <c r="Z1" s="2">
        <f t="shared" si="1"/>
        <v>46783</v>
      </c>
      <c r="AA1" s="2">
        <f t="shared" si="1"/>
        <v>46812</v>
      </c>
      <c r="AB1" s="2">
        <f t="shared" si="1"/>
        <v>46843</v>
      </c>
      <c r="AC1" s="2">
        <f t="shared" si="1"/>
        <v>46873</v>
      </c>
      <c r="AD1" s="2">
        <f t="shared" si="1"/>
        <v>46904</v>
      </c>
      <c r="AE1" s="2">
        <f t="shared" si="1"/>
        <v>46934</v>
      </c>
      <c r="AF1" s="2">
        <f t="shared" si="1"/>
        <v>46965</v>
      </c>
      <c r="AG1" s="2">
        <f t="shared" si="1"/>
        <v>46996</v>
      </c>
      <c r="AH1" s="2">
        <f t="shared" si="1"/>
        <v>47026</v>
      </c>
      <c r="AI1" s="2">
        <f t="shared" si="1"/>
        <v>47057</v>
      </c>
      <c r="AJ1" s="2">
        <f t="shared" si="1"/>
        <v>47087</v>
      </c>
      <c r="AK1" s="2">
        <f t="shared" si="1"/>
        <v>47118</v>
      </c>
      <c r="AL1" s="2">
        <f t="shared" si="1"/>
        <v>47149</v>
      </c>
      <c r="AM1" s="2">
        <f t="shared" si="1"/>
        <v>47177</v>
      </c>
    </row>
    <row r="3">
      <c r="A3" s="3" t="s">
        <v>23</v>
      </c>
      <c r="B3" s="4"/>
      <c r="C3" s="4"/>
      <c r="D3" s="5">
        <f t="shared" ref="D3:AM3" si="2">D5+D28</f>
        <v>220</v>
      </c>
      <c r="E3" s="5">
        <f t="shared" si="2"/>
        <v>340</v>
      </c>
      <c r="F3" s="5">
        <f t="shared" si="2"/>
        <v>560</v>
      </c>
      <c r="G3" s="5">
        <f t="shared" si="2"/>
        <v>3880</v>
      </c>
      <c r="H3" s="5">
        <f t="shared" si="2"/>
        <v>4220</v>
      </c>
      <c r="I3" s="5">
        <f t="shared" si="2"/>
        <v>4560</v>
      </c>
      <c r="J3" s="5">
        <f t="shared" si="2"/>
        <v>5020</v>
      </c>
      <c r="K3" s="5">
        <f t="shared" si="2"/>
        <v>5400</v>
      </c>
      <c r="L3" s="5">
        <f t="shared" si="2"/>
        <v>5780</v>
      </c>
      <c r="M3" s="5">
        <f t="shared" si="2"/>
        <v>6300</v>
      </c>
      <c r="N3" s="5">
        <f t="shared" si="2"/>
        <v>6820</v>
      </c>
      <c r="O3" s="5">
        <f t="shared" si="2"/>
        <v>7260</v>
      </c>
      <c r="P3" s="5">
        <f t="shared" si="2"/>
        <v>7820</v>
      </c>
      <c r="Q3" s="5">
        <f t="shared" si="2"/>
        <v>8400</v>
      </c>
      <c r="R3" s="5">
        <f t="shared" si="2"/>
        <v>9000</v>
      </c>
      <c r="S3" s="5">
        <f t="shared" si="2"/>
        <v>9640</v>
      </c>
      <c r="T3" s="5">
        <f t="shared" si="2"/>
        <v>10420</v>
      </c>
      <c r="U3" s="5">
        <f t="shared" si="2"/>
        <v>11120</v>
      </c>
      <c r="V3" s="5">
        <f t="shared" si="2"/>
        <v>11960</v>
      </c>
      <c r="W3" s="5">
        <f t="shared" si="2"/>
        <v>12860</v>
      </c>
      <c r="X3" s="5">
        <f t="shared" si="2"/>
        <v>13800</v>
      </c>
      <c r="Y3" s="5">
        <f t="shared" si="2"/>
        <v>14780</v>
      </c>
      <c r="Z3" s="5">
        <f t="shared" si="2"/>
        <v>15940</v>
      </c>
      <c r="AA3" s="5">
        <f t="shared" si="2"/>
        <v>17140</v>
      </c>
      <c r="AB3" s="5">
        <f t="shared" si="2"/>
        <v>18540</v>
      </c>
      <c r="AC3" s="5">
        <f t="shared" si="2"/>
        <v>20000</v>
      </c>
      <c r="AD3" s="5">
        <f t="shared" si="2"/>
        <v>21560</v>
      </c>
      <c r="AE3" s="5">
        <f t="shared" si="2"/>
        <v>23320</v>
      </c>
      <c r="AF3" s="5">
        <f t="shared" si="2"/>
        <v>25200</v>
      </c>
      <c r="AG3" s="5">
        <f t="shared" si="2"/>
        <v>27300</v>
      </c>
      <c r="AH3" s="5">
        <f t="shared" si="2"/>
        <v>29660</v>
      </c>
      <c r="AI3" s="5">
        <f t="shared" si="2"/>
        <v>32160</v>
      </c>
      <c r="AJ3" s="5">
        <f t="shared" si="2"/>
        <v>35060</v>
      </c>
      <c r="AK3" s="5">
        <f t="shared" si="2"/>
        <v>38180</v>
      </c>
      <c r="AL3" s="5">
        <f t="shared" si="2"/>
        <v>41720</v>
      </c>
      <c r="AM3" s="5">
        <f t="shared" si="2"/>
        <v>45640</v>
      </c>
    </row>
    <row r="5">
      <c r="A5" s="3" t="s">
        <v>24</v>
      </c>
      <c r="B5" s="4"/>
      <c r="C5" s="4"/>
      <c r="D5" s="5">
        <f t="shared" ref="D5:AM5" si="3">SUM(D16,D23)</f>
        <v>220</v>
      </c>
      <c r="E5" s="5">
        <f t="shared" si="3"/>
        <v>340</v>
      </c>
      <c r="F5" s="5">
        <f t="shared" si="3"/>
        <v>560</v>
      </c>
      <c r="G5" s="5">
        <f t="shared" si="3"/>
        <v>880</v>
      </c>
      <c r="H5" s="5">
        <f t="shared" si="3"/>
        <v>1220</v>
      </c>
      <c r="I5" s="5">
        <f t="shared" si="3"/>
        <v>1560</v>
      </c>
      <c r="J5" s="5">
        <f t="shared" si="3"/>
        <v>2020</v>
      </c>
      <c r="K5" s="5">
        <f t="shared" si="3"/>
        <v>2400</v>
      </c>
      <c r="L5" s="5">
        <f t="shared" si="3"/>
        <v>2780</v>
      </c>
      <c r="M5" s="5">
        <f t="shared" si="3"/>
        <v>3300</v>
      </c>
      <c r="N5" s="5">
        <f t="shared" si="3"/>
        <v>3820</v>
      </c>
      <c r="O5" s="5">
        <f t="shared" si="3"/>
        <v>4260</v>
      </c>
      <c r="P5" s="5">
        <f t="shared" si="3"/>
        <v>4820</v>
      </c>
      <c r="Q5" s="5">
        <f t="shared" si="3"/>
        <v>5400</v>
      </c>
      <c r="R5" s="5">
        <f t="shared" si="3"/>
        <v>6000</v>
      </c>
      <c r="S5" s="5">
        <f t="shared" si="3"/>
        <v>6640</v>
      </c>
      <c r="T5" s="5">
        <f t="shared" si="3"/>
        <v>7420</v>
      </c>
      <c r="U5" s="5">
        <f t="shared" si="3"/>
        <v>8120</v>
      </c>
      <c r="V5" s="5">
        <f t="shared" si="3"/>
        <v>8960</v>
      </c>
      <c r="W5" s="5">
        <f t="shared" si="3"/>
        <v>9860</v>
      </c>
      <c r="X5" s="5">
        <f t="shared" si="3"/>
        <v>10800</v>
      </c>
      <c r="Y5" s="5">
        <f t="shared" si="3"/>
        <v>11780</v>
      </c>
      <c r="Z5" s="5">
        <f t="shared" si="3"/>
        <v>12940</v>
      </c>
      <c r="AA5" s="5">
        <f t="shared" si="3"/>
        <v>14140</v>
      </c>
      <c r="AB5" s="5">
        <f t="shared" si="3"/>
        <v>15540</v>
      </c>
      <c r="AC5" s="5">
        <f t="shared" si="3"/>
        <v>17000</v>
      </c>
      <c r="AD5" s="5">
        <f t="shared" si="3"/>
        <v>18560</v>
      </c>
      <c r="AE5" s="5">
        <f t="shared" si="3"/>
        <v>20320</v>
      </c>
      <c r="AF5" s="5">
        <f t="shared" si="3"/>
        <v>22200</v>
      </c>
      <c r="AG5" s="5">
        <f t="shared" si="3"/>
        <v>24300</v>
      </c>
      <c r="AH5" s="5">
        <f t="shared" si="3"/>
        <v>26660</v>
      </c>
      <c r="AI5" s="5">
        <f t="shared" si="3"/>
        <v>29160</v>
      </c>
      <c r="AJ5" s="5">
        <f t="shared" si="3"/>
        <v>32060</v>
      </c>
      <c r="AK5" s="5">
        <f t="shared" si="3"/>
        <v>35180</v>
      </c>
      <c r="AL5" s="5">
        <f t="shared" si="3"/>
        <v>38720</v>
      </c>
      <c r="AM5" s="5">
        <f t="shared" si="3"/>
        <v>42640</v>
      </c>
    </row>
    <row r="7">
      <c r="A7" s="9"/>
      <c r="B7" s="9" t="s">
        <v>25</v>
      </c>
      <c r="C7" s="8"/>
      <c r="D7" s="22">
        <v>0.0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2">
        <v>0.0</v>
      </c>
      <c r="L7" s="22">
        <v>0.0</v>
      </c>
      <c r="M7" s="22">
        <v>0.0</v>
      </c>
      <c r="N7" s="22">
        <v>0.0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2">
        <v>0.0</v>
      </c>
      <c r="V7" s="22">
        <v>0.0</v>
      </c>
      <c r="W7" s="22">
        <v>0.0</v>
      </c>
      <c r="X7" s="22">
        <v>0.0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2">
        <v>0.0</v>
      </c>
      <c r="AF7" s="22">
        <v>0.0</v>
      </c>
      <c r="AG7" s="22">
        <v>0.0</v>
      </c>
      <c r="AH7" s="22">
        <v>0.0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</row>
    <row r="8">
      <c r="B8" s="6" t="s">
        <v>26</v>
      </c>
      <c r="C8" s="16">
        <v>0.0</v>
      </c>
      <c r="D8" s="17">
        <f>D9</f>
        <v>30</v>
      </c>
      <c r="E8" s="23">
        <f t="shared" ref="E8:AM8" si="4">D8+E9</f>
        <v>60</v>
      </c>
      <c r="F8" s="23">
        <f t="shared" si="4"/>
        <v>91</v>
      </c>
      <c r="G8" s="23">
        <f t="shared" si="4"/>
        <v>147</v>
      </c>
      <c r="H8" s="23">
        <f t="shared" si="4"/>
        <v>206</v>
      </c>
      <c r="I8" s="23">
        <f t="shared" si="4"/>
        <v>267</v>
      </c>
      <c r="J8" s="23">
        <f t="shared" si="4"/>
        <v>332</v>
      </c>
      <c r="K8" s="23">
        <f t="shared" si="4"/>
        <v>400</v>
      </c>
      <c r="L8" s="23">
        <f t="shared" si="4"/>
        <v>472</v>
      </c>
      <c r="M8" s="23">
        <f t="shared" si="4"/>
        <v>548</v>
      </c>
      <c r="N8" s="23">
        <f t="shared" si="4"/>
        <v>628</v>
      </c>
      <c r="O8" s="23">
        <f t="shared" si="4"/>
        <v>713</v>
      </c>
      <c r="P8" s="23">
        <f t="shared" si="4"/>
        <v>803</v>
      </c>
      <c r="Q8" s="23">
        <f t="shared" si="4"/>
        <v>899</v>
      </c>
      <c r="R8" s="23">
        <f t="shared" si="4"/>
        <v>1002</v>
      </c>
      <c r="S8" s="23">
        <f t="shared" si="4"/>
        <v>1111</v>
      </c>
      <c r="T8" s="23">
        <f t="shared" si="4"/>
        <v>1229</v>
      </c>
      <c r="U8" s="23">
        <f t="shared" si="4"/>
        <v>1356</v>
      </c>
      <c r="V8" s="23">
        <f t="shared" si="4"/>
        <v>1492</v>
      </c>
      <c r="W8" s="23">
        <f t="shared" si="4"/>
        <v>1639</v>
      </c>
      <c r="X8" s="23">
        <f t="shared" si="4"/>
        <v>1798</v>
      </c>
      <c r="Y8" s="23">
        <f t="shared" si="4"/>
        <v>1971</v>
      </c>
      <c r="Z8" s="23">
        <f t="shared" si="4"/>
        <v>2158</v>
      </c>
      <c r="AA8" s="23">
        <f t="shared" si="4"/>
        <v>2361</v>
      </c>
      <c r="AB8" s="23">
        <f t="shared" si="4"/>
        <v>2583</v>
      </c>
      <c r="AC8" s="23">
        <f t="shared" si="4"/>
        <v>2825</v>
      </c>
      <c r="AD8" s="23">
        <f t="shared" si="4"/>
        <v>3090</v>
      </c>
      <c r="AE8" s="23">
        <f t="shared" si="4"/>
        <v>3381</v>
      </c>
      <c r="AF8" s="23">
        <f t="shared" si="4"/>
        <v>3701</v>
      </c>
      <c r="AG8" s="23">
        <f t="shared" si="4"/>
        <v>4052</v>
      </c>
      <c r="AH8" s="23">
        <f t="shared" si="4"/>
        <v>4439</v>
      </c>
      <c r="AI8" s="23">
        <f t="shared" si="4"/>
        <v>4867</v>
      </c>
      <c r="AJ8" s="23">
        <f t="shared" si="4"/>
        <v>5342</v>
      </c>
      <c r="AK8" s="23">
        <f t="shared" si="4"/>
        <v>5870</v>
      </c>
      <c r="AL8" s="23">
        <f t="shared" si="4"/>
        <v>6457</v>
      </c>
      <c r="AM8" s="23">
        <f t="shared" si="4"/>
        <v>7112</v>
      </c>
    </row>
    <row r="9">
      <c r="B9" s="6" t="s">
        <v>27</v>
      </c>
      <c r="D9" s="17">
        <f>Wachstum!D18</f>
        <v>30</v>
      </c>
      <c r="E9" s="17">
        <f>Wachstum!E18</f>
        <v>30</v>
      </c>
      <c r="F9" s="17">
        <f>Wachstum!F18</f>
        <v>31</v>
      </c>
      <c r="G9" s="17">
        <f>Wachstum!G18</f>
        <v>56</v>
      </c>
      <c r="H9" s="17">
        <f>Wachstum!H18</f>
        <v>59</v>
      </c>
      <c r="I9" s="17">
        <f>Wachstum!I18</f>
        <v>61</v>
      </c>
      <c r="J9" s="17">
        <f>Wachstum!J18</f>
        <v>65</v>
      </c>
      <c r="K9" s="17">
        <f>Wachstum!K18</f>
        <v>68</v>
      </c>
      <c r="L9" s="17">
        <f>Wachstum!L18</f>
        <v>72</v>
      </c>
      <c r="M9" s="17">
        <f>Wachstum!M18</f>
        <v>76</v>
      </c>
      <c r="N9" s="17">
        <f>Wachstum!N18</f>
        <v>80</v>
      </c>
      <c r="O9" s="17">
        <f>Wachstum!O18</f>
        <v>85</v>
      </c>
      <c r="P9" s="17">
        <f>Wachstum!P18</f>
        <v>90</v>
      </c>
      <c r="Q9" s="17">
        <f>Wachstum!Q18</f>
        <v>96</v>
      </c>
      <c r="R9" s="17">
        <f>Wachstum!R18</f>
        <v>103</v>
      </c>
      <c r="S9" s="17">
        <f>Wachstum!S18</f>
        <v>109</v>
      </c>
      <c r="T9" s="17">
        <f>Wachstum!T18</f>
        <v>118</v>
      </c>
      <c r="U9" s="17">
        <f>Wachstum!U18</f>
        <v>127</v>
      </c>
      <c r="V9" s="17">
        <f>Wachstum!V18</f>
        <v>136</v>
      </c>
      <c r="W9" s="17">
        <f>Wachstum!W18</f>
        <v>147</v>
      </c>
      <c r="X9" s="17">
        <f>Wachstum!X18</f>
        <v>159</v>
      </c>
      <c r="Y9" s="17">
        <f>Wachstum!Y18</f>
        <v>173</v>
      </c>
      <c r="Z9" s="17">
        <f>Wachstum!Z18</f>
        <v>187</v>
      </c>
      <c r="AA9" s="17">
        <f>Wachstum!AA18</f>
        <v>203</v>
      </c>
      <c r="AB9" s="17">
        <f>Wachstum!AB18</f>
        <v>222</v>
      </c>
      <c r="AC9" s="17">
        <f>Wachstum!AC18</f>
        <v>242</v>
      </c>
      <c r="AD9" s="17">
        <f>Wachstum!AD18</f>
        <v>265</v>
      </c>
      <c r="AE9" s="17">
        <f>Wachstum!AE18</f>
        <v>291</v>
      </c>
      <c r="AF9" s="17">
        <f>Wachstum!AF18</f>
        <v>320</v>
      </c>
      <c r="AG9" s="17">
        <f>Wachstum!AG18</f>
        <v>351</v>
      </c>
      <c r="AH9" s="17">
        <f>Wachstum!AH18</f>
        <v>387</v>
      </c>
      <c r="AI9" s="17">
        <f>Wachstum!AI18</f>
        <v>428</v>
      </c>
      <c r="AJ9" s="17">
        <f>Wachstum!AJ18</f>
        <v>475</v>
      </c>
      <c r="AK9" s="17">
        <f>Wachstum!AK18</f>
        <v>528</v>
      </c>
      <c r="AL9" s="17">
        <f>Wachstum!AL18</f>
        <v>587</v>
      </c>
      <c r="AM9" s="17">
        <f>Wachstum!AM18</f>
        <v>655</v>
      </c>
    </row>
    <row r="10">
      <c r="B10" s="6" t="s">
        <v>28</v>
      </c>
      <c r="D10" s="6">
        <f>D9</f>
        <v>30</v>
      </c>
      <c r="E10" s="6">
        <f>SUM(D9:E9)</f>
        <v>60</v>
      </c>
      <c r="F10" s="6">
        <f t="shared" ref="F10:AM10" si="5">SUM(D9:F9)</f>
        <v>91</v>
      </c>
      <c r="G10" s="6">
        <f t="shared" si="5"/>
        <v>117</v>
      </c>
      <c r="H10" s="6">
        <f t="shared" si="5"/>
        <v>146</v>
      </c>
      <c r="I10" s="6">
        <f t="shared" si="5"/>
        <v>176</v>
      </c>
      <c r="J10" s="6">
        <f t="shared" si="5"/>
        <v>185</v>
      </c>
      <c r="K10" s="6">
        <f t="shared" si="5"/>
        <v>194</v>
      </c>
      <c r="L10" s="6">
        <f t="shared" si="5"/>
        <v>205</v>
      </c>
      <c r="M10" s="6">
        <f t="shared" si="5"/>
        <v>216</v>
      </c>
      <c r="N10" s="6">
        <f t="shared" si="5"/>
        <v>228</v>
      </c>
      <c r="O10" s="6">
        <f t="shared" si="5"/>
        <v>241</v>
      </c>
      <c r="P10" s="6">
        <f t="shared" si="5"/>
        <v>255</v>
      </c>
      <c r="Q10" s="6">
        <f t="shared" si="5"/>
        <v>271</v>
      </c>
      <c r="R10" s="6">
        <f t="shared" si="5"/>
        <v>289</v>
      </c>
      <c r="S10" s="6">
        <f t="shared" si="5"/>
        <v>308</v>
      </c>
      <c r="T10" s="6">
        <f t="shared" si="5"/>
        <v>330</v>
      </c>
      <c r="U10" s="6">
        <f t="shared" si="5"/>
        <v>354</v>
      </c>
      <c r="V10" s="6">
        <f t="shared" si="5"/>
        <v>381</v>
      </c>
      <c r="W10" s="6">
        <f t="shared" si="5"/>
        <v>410</v>
      </c>
      <c r="X10" s="6">
        <f t="shared" si="5"/>
        <v>442</v>
      </c>
      <c r="Y10" s="6">
        <f t="shared" si="5"/>
        <v>479</v>
      </c>
      <c r="Z10" s="6">
        <f t="shared" si="5"/>
        <v>519</v>
      </c>
      <c r="AA10" s="6">
        <f t="shared" si="5"/>
        <v>563</v>
      </c>
      <c r="AB10" s="6">
        <f t="shared" si="5"/>
        <v>612</v>
      </c>
      <c r="AC10" s="6">
        <f t="shared" si="5"/>
        <v>667</v>
      </c>
      <c r="AD10" s="6">
        <f t="shared" si="5"/>
        <v>729</v>
      </c>
      <c r="AE10" s="6">
        <f t="shared" si="5"/>
        <v>798</v>
      </c>
      <c r="AF10" s="6">
        <f t="shared" si="5"/>
        <v>876</v>
      </c>
      <c r="AG10" s="6">
        <f t="shared" si="5"/>
        <v>962</v>
      </c>
      <c r="AH10" s="6">
        <f t="shared" si="5"/>
        <v>1058</v>
      </c>
      <c r="AI10" s="6">
        <f t="shared" si="5"/>
        <v>1166</v>
      </c>
      <c r="AJ10" s="6">
        <f t="shared" si="5"/>
        <v>1290</v>
      </c>
      <c r="AK10" s="6">
        <f t="shared" si="5"/>
        <v>1431</v>
      </c>
      <c r="AL10" s="6">
        <f t="shared" si="5"/>
        <v>1590</v>
      </c>
      <c r="AM10" s="6">
        <f t="shared" si="5"/>
        <v>1770</v>
      </c>
    </row>
    <row r="11">
      <c r="B11" s="6"/>
      <c r="D11" s="24"/>
    </row>
    <row r="12">
      <c r="B12" s="6" t="s">
        <v>29</v>
      </c>
      <c r="D12" s="25">
        <f>D13</f>
        <v>1</v>
      </c>
      <c r="E12" s="25">
        <f t="shared" ref="E12:AM12" si="6">IF(E13&lt;&gt;"", E13,D12)</f>
        <v>1</v>
      </c>
      <c r="F12" s="25">
        <f t="shared" si="6"/>
        <v>1</v>
      </c>
      <c r="G12" s="25">
        <f t="shared" si="6"/>
        <v>1</v>
      </c>
      <c r="H12" s="25">
        <f t="shared" si="6"/>
        <v>1</v>
      </c>
      <c r="I12" s="25">
        <f t="shared" si="6"/>
        <v>1</v>
      </c>
      <c r="J12" s="25">
        <f t="shared" si="6"/>
        <v>1</v>
      </c>
      <c r="K12" s="25">
        <f t="shared" si="6"/>
        <v>1</v>
      </c>
      <c r="L12" s="25">
        <f t="shared" si="6"/>
        <v>1</v>
      </c>
      <c r="M12" s="25">
        <f t="shared" si="6"/>
        <v>1</v>
      </c>
      <c r="N12" s="25">
        <f t="shared" si="6"/>
        <v>1</v>
      </c>
      <c r="O12" s="25">
        <f t="shared" si="6"/>
        <v>1</v>
      </c>
      <c r="P12" s="25">
        <f t="shared" si="6"/>
        <v>1</v>
      </c>
      <c r="Q12" s="25">
        <f t="shared" si="6"/>
        <v>1</v>
      </c>
      <c r="R12" s="25">
        <f t="shared" si="6"/>
        <v>1</v>
      </c>
      <c r="S12" s="25">
        <f t="shared" si="6"/>
        <v>1</v>
      </c>
      <c r="T12" s="25">
        <f t="shared" si="6"/>
        <v>1</v>
      </c>
      <c r="U12" s="25">
        <f t="shared" si="6"/>
        <v>1</v>
      </c>
      <c r="V12" s="25">
        <f t="shared" si="6"/>
        <v>1</v>
      </c>
      <c r="W12" s="25">
        <f t="shared" si="6"/>
        <v>1</v>
      </c>
      <c r="X12" s="25">
        <f t="shared" si="6"/>
        <v>1</v>
      </c>
      <c r="Y12" s="25">
        <f t="shared" si="6"/>
        <v>1</v>
      </c>
      <c r="Z12" s="25">
        <f t="shared" si="6"/>
        <v>1</v>
      </c>
      <c r="AA12" s="25">
        <f t="shared" si="6"/>
        <v>1</v>
      </c>
      <c r="AB12" s="25">
        <f t="shared" si="6"/>
        <v>1</v>
      </c>
      <c r="AC12" s="25">
        <f t="shared" si="6"/>
        <v>1</v>
      </c>
      <c r="AD12" s="25">
        <f t="shared" si="6"/>
        <v>1</v>
      </c>
      <c r="AE12" s="25">
        <f t="shared" si="6"/>
        <v>1</v>
      </c>
      <c r="AF12" s="25">
        <f t="shared" si="6"/>
        <v>1</v>
      </c>
      <c r="AG12" s="25">
        <f t="shared" si="6"/>
        <v>1</v>
      </c>
      <c r="AH12" s="25">
        <f t="shared" si="6"/>
        <v>1</v>
      </c>
      <c r="AI12" s="25">
        <f t="shared" si="6"/>
        <v>1</v>
      </c>
      <c r="AJ12" s="25">
        <f t="shared" si="6"/>
        <v>1</v>
      </c>
      <c r="AK12" s="25">
        <f t="shared" si="6"/>
        <v>1</v>
      </c>
      <c r="AL12" s="25">
        <f t="shared" si="6"/>
        <v>1</v>
      </c>
      <c r="AM12" s="25">
        <f t="shared" si="6"/>
        <v>1</v>
      </c>
    </row>
    <row r="13">
      <c r="B13" s="6" t="s">
        <v>30</v>
      </c>
      <c r="D13" s="24">
        <v>1.0</v>
      </c>
      <c r="E13" s="26"/>
      <c r="F13" s="26"/>
      <c r="G13" s="24">
        <v>1.0</v>
      </c>
      <c r="H13" s="24"/>
      <c r="I13" s="26"/>
      <c r="J13" s="24">
        <v>1.0</v>
      </c>
      <c r="K13" s="24"/>
      <c r="L13" s="26"/>
      <c r="M13" s="24">
        <v>1.0</v>
      </c>
      <c r="N13" s="26"/>
      <c r="O13" s="24"/>
      <c r="P13" s="24"/>
      <c r="Q13" s="26"/>
      <c r="R13" s="26"/>
      <c r="S13" s="24"/>
      <c r="T13" s="26"/>
      <c r="U13" s="26"/>
      <c r="V13" s="24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</row>
    <row r="14">
      <c r="B14" s="6" t="s">
        <v>31</v>
      </c>
      <c r="C14" s="6"/>
      <c r="D14" s="24">
        <v>0.01</v>
      </c>
    </row>
    <row r="16">
      <c r="A16" s="9"/>
      <c r="B16" s="9" t="s">
        <v>32</v>
      </c>
      <c r="C16" s="16">
        <v>20.0</v>
      </c>
      <c r="D16" s="10">
        <f t="shared" ref="D16:AM16" si="7">D17*$C16</f>
        <v>120</v>
      </c>
      <c r="E16" s="10">
        <f t="shared" si="7"/>
        <v>240</v>
      </c>
      <c r="F16" s="10">
        <f t="shared" si="7"/>
        <v>360</v>
      </c>
      <c r="G16" s="10">
        <f t="shared" si="7"/>
        <v>580</v>
      </c>
      <c r="H16" s="10">
        <f t="shared" si="7"/>
        <v>820</v>
      </c>
      <c r="I16" s="10">
        <f t="shared" si="7"/>
        <v>1060</v>
      </c>
      <c r="J16" s="10">
        <f t="shared" si="7"/>
        <v>1320</v>
      </c>
      <c r="K16" s="10">
        <f t="shared" si="7"/>
        <v>1600</v>
      </c>
      <c r="L16" s="10">
        <f t="shared" si="7"/>
        <v>1880</v>
      </c>
      <c r="M16" s="10">
        <f t="shared" si="7"/>
        <v>2200</v>
      </c>
      <c r="N16" s="10">
        <f t="shared" si="7"/>
        <v>2520</v>
      </c>
      <c r="O16" s="10">
        <f t="shared" si="7"/>
        <v>2860</v>
      </c>
      <c r="P16" s="10">
        <f t="shared" si="7"/>
        <v>3220</v>
      </c>
      <c r="Q16" s="10">
        <f t="shared" si="7"/>
        <v>3600</v>
      </c>
      <c r="R16" s="10">
        <f t="shared" si="7"/>
        <v>4000</v>
      </c>
      <c r="S16" s="10">
        <f t="shared" si="7"/>
        <v>4440</v>
      </c>
      <c r="T16" s="10">
        <f t="shared" si="7"/>
        <v>4920</v>
      </c>
      <c r="U16" s="10">
        <f t="shared" si="7"/>
        <v>5420</v>
      </c>
      <c r="V16" s="10">
        <f t="shared" si="7"/>
        <v>5960</v>
      </c>
      <c r="W16" s="10">
        <f t="shared" si="7"/>
        <v>6560</v>
      </c>
      <c r="X16" s="10">
        <f t="shared" si="7"/>
        <v>7200</v>
      </c>
      <c r="Y16" s="10">
        <f t="shared" si="7"/>
        <v>7880</v>
      </c>
      <c r="Z16" s="10">
        <f t="shared" si="7"/>
        <v>8640</v>
      </c>
      <c r="AA16" s="10">
        <f t="shared" si="7"/>
        <v>9440</v>
      </c>
      <c r="AB16" s="10">
        <f t="shared" si="7"/>
        <v>10340</v>
      </c>
      <c r="AC16" s="10">
        <f t="shared" si="7"/>
        <v>11300</v>
      </c>
      <c r="AD16" s="10">
        <f t="shared" si="7"/>
        <v>12360</v>
      </c>
      <c r="AE16" s="10">
        <f t="shared" si="7"/>
        <v>13520</v>
      </c>
      <c r="AF16" s="10">
        <f t="shared" si="7"/>
        <v>14800</v>
      </c>
      <c r="AG16" s="10">
        <f t="shared" si="7"/>
        <v>16200</v>
      </c>
      <c r="AH16" s="10">
        <f t="shared" si="7"/>
        <v>17760</v>
      </c>
      <c r="AI16" s="10">
        <f t="shared" si="7"/>
        <v>19460</v>
      </c>
      <c r="AJ16" s="10">
        <f t="shared" si="7"/>
        <v>21360</v>
      </c>
      <c r="AK16" s="10">
        <f t="shared" si="7"/>
        <v>23480</v>
      </c>
      <c r="AL16" s="10">
        <f t="shared" si="7"/>
        <v>25820</v>
      </c>
      <c r="AM16" s="10">
        <f t="shared" si="7"/>
        <v>28440</v>
      </c>
    </row>
    <row r="17">
      <c r="B17" s="6" t="s">
        <v>33</v>
      </c>
      <c r="D17" s="17">
        <f t="shared" ref="D17:AM17" si="8">ROUND(D8*$C18,0)</f>
        <v>6</v>
      </c>
      <c r="E17" s="17">
        <f t="shared" si="8"/>
        <v>12</v>
      </c>
      <c r="F17" s="17">
        <f t="shared" si="8"/>
        <v>18</v>
      </c>
      <c r="G17" s="17">
        <f t="shared" si="8"/>
        <v>29</v>
      </c>
      <c r="H17" s="17">
        <f t="shared" si="8"/>
        <v>41</v>
      </c>
      <c r="I17" s="17">
        <f t="shared" si="8"/>
        <v>53</v>
      </c>
      <c r="J17" s="17">
        <f t="shared" si="8"/>
        <v>66</v>
      </c>
      <c r="K17" s="17">
        <f t="shared" si="8"/>
        <v>80</v>
      </c>
      <c r="L17" s="17">
        <f t="shared" si="8"/>
        <v>94</v>
      </c>
      <c r="M17" s="17">
        <f t="shared" si="8"/>
        <v>110</v>
      </c>
      <c r="N17" s="17">
        <f t="shared" si="8"/>
        <v>126</v>
      </c>
      <c r="O17" s="17">
        <f t="shared" si="8"/>
        <v>143</v>
      </c>
      <c r="P17" s="17">
        <f t="shared" si="8"/>
        <v>161</v>
      </c>
      <c r="Q17" s="17">
        <f t="shared" si="8"/>
        <v>180</v>
      </c>
      <c r="R17" s="17">
        <f t="shared" si="8"/>
        <v>200</v>
      </c>
      <c r="S17" s="17">
        <f t="shared" si="8"/>
        <v>222</v>
      </c>
      <c r="T17" s="17">
        <f t="shared" si="8"/>
        <v>246</v>
      </c>
      <c r="U17" s="17">
        <f t="shared" si="8"/>
        <v>271</v>
      </c>
      <c r="V17" s="17">
        <f t="shared" si="8"/>
        <v>298</v>
      </c>
      <c r="W17" s="17">
        <f t="shared" si="8"/>
        <v>328</v>
      </c>
      <c r="X17" s="17">
        <f t="shared" si="8"/>
        <v>360</v>
      </c>
      <c r="Y17" s="17">
        <f t="shared" si="8"/>
        <v>394</v>
      </c>
      <c r="Z17" s="17">
        <f t="shared" si="8"/>
        <v>432</v>
      </c>
      <c r="AA17" s="17">
        <f t="shared" si="8"/>
        <v>472</v>
      </c>
      <c r="AB17" s="17">
        <f t="shared" si="8"/>
        <v>517</v>
      </c>
      <c r="AC17" s="17">
        <f t="shared" si="8"/>
        <v>565</v>
      </c>
      <c r="AD17" s="17">
        <f t="shared" si="8"/>
        <v>618</v>
      </c>
      <c r="AE17" s="17">
        <f t="shared" si="8"/>
        <v>676</v>
      </c>
      <c r="AF17" s="17">
        <f t="shared" si="8"/>
        <v>740</v>
      </c>
      <c r="AG17" s="17">
        <f t="shared" si="8"/>
        <v>810</v>
      </c>
      <c r="AH17" s="17">
        <f t="shared" si="8"/>
        <v>888</v>
      </c>
      <c r="AI17" s="17">
        <f t="shared" si="8"/>
        <v>973</v>
      </c>
      <c r="AJ17" s="17">
        <f t="shared" si="8"/>
        <v>1068</v>
      </c>
      <c r="AK17" s="17">
        <f t="shared" si="8"/>
        <v>1174</v>
      </c>
      <c r="AL17" s="17">
        <f t="shared" si="8"/>
        <v>1291</v>
      </c>
      <c r="AM17" s="17">
        <f t="shared" si="8"/>
        <v>1422</v>
      </c>
    </row>
    <row r="18">
      <c r="B18" s="6" t="s">
        <v>34</v>
      </c>
      <c r="C18" s="27">
        <v>0.2</v>
      </c>
      <c r="D18" s="24"/>
    </row>
    <row r="19"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</row>
    <row r="21">
      <c r="B21" s="28" t="s">
        <v>35</v>
      </c>
      <c r="C21" s="29"/>
      <c r="D21" s="30">
        <f>Kosten!E11</f>
        <v>48</v>
      </c>
      <c r="E21" s="30">
        <f>Kosten!F11</f>
        <v>96</v>
      </c>
      <c r="F21" s="30">
        <f>Kosten!G11</f>
        <v>144</v>
      </c>
      <c r="G21" s="30">
        <f>Kosten!H11</f>
        <v>232</v>
      </c>
      <c r="H21" s="30">
        <f>Kosten!I11</f>
        <v>328</v>
      </c>
      <c r="I21" s="30">
        <f>Kosten!J11</f>
        <v>424</v>
      </c>
      <c r="J21" s="30">
        <f>Kosten!K11</f>
        <v>528</v>
      </c>
      <c r="K21" s="30">
        <f>Kosten!L11</f>
        <v>640</v>
      </c>
      <c r="L21" s="30">
        <f>Kosten!M11</f>
        <v>752</v>
      </c>
      <c r="M21" s="30">
        <f>Kosten!N11</f>
        <v>880</v>
      </c>
      <c r="N21" s="30">
        <f>Kosten!O11</f>
        <v>1008</v>
      </c>
      <c r="O21" s="30">
        <f>Kosten!P11</f>
        <v>1144</v>
      </c>
      <c r="P21" s="30">
        <f>Kosten!Q11</f>
        <v>1288</v>
      </c>
      <c r="Q21" s="30">
        <f>Kosten!R11</f>
        <v>1440</v>
      </c>
      <c r="R21" s="30">
        <f>Kosten!S11</f>
        <v>1600</v>
      </c>
      <c r="S21" s="30">
        <f>Kosten!T11</f>
        <v>1776</v>
      </c>
      <c r="T21" s="30">
        <f>Kosten!U11</f>
        <v>1968</v>
      </c>
      <c r="U21" s="30">
        <f>Kosten!V11</f>
        <v>2168</v>
      </c>
      <c r="V21" s="30">
        <f>Kosten!W11</f>
        <v>2384</v>
      </c>
      <c r="W21" s="30">
        <f>Kosten!X11</f>
        <v>2624</v>
      </c>
      <c r="X21" s="30">
        <f>Kosten!Y11</f>
        <v>2880</v>
      </c>
      <c r="Y21" s="30">
        <f>Kosten!Z11</f>
        <v>3152</v>
      </c>
      <c r="Z21" s="30">
        <f>Kosten!AA11</f>
        <v>3456</v>
      </c>
      <c r="AA21" s="30">
        <f>Kosten!AB11</f>
        <v>3776</v>
      </c>
      <c r="AB21" s="30">
        <f>Kosten!AC11</f>
        <v>4136</v>
      </c>
      <c r="AC21" s="30">
        <f>Kosten!AD11</f>
        <v>4520</v>
      </c>
      <c r="AD21" s="30">
        <f>Kosten!AE11</f>
        <v>4944</v>
      </c>
      <c r="AE21" s="30">
        <f>Kosten!AF11</f>
        <v>5408</v>
      </c>
      <c r="AF21" s="30">
        <f>Kosten!AG11</f>
        <v>5920</v>
      </c>
      <c r="AG21" s="30">
        <f>Kosten!AH11</f>
        <v>6480</v>
      </c>
      <c r="AH21" s="30">
        <f>Kosten!AI11</f>
        <v>7104</v>
      </c>
      <c r="AI21" s="30">
        <f>Kosten!AJ11</f>
        <v>7784</v>
      </c>
      <c r="AJ21" s="30">
        <f>Kosten!AK11</f>
        <v>8544</v>
      </c>
      <c r="AK21" s="30">
        <f>Kosten!AL11</f>
        <v>9392</v>
      </c>
      <c r="AL21" s="30">
        <f>Kosten!AM11</f>
        <v>10328</v>
      </c>
      <c r="AM21" s="30">
        <f>Kosten!AN11</f>
        <v>11376</v>
      </c>
    </row>
    <row r="23">
      <c r="A23" s="9"/>
      <c r="B23" s="9" t="s">
        <v>36</v>
      </c>
      <c r="C23" s="8"/>
      <c r="D23" s="10">
        <f t="shared" ref="D23:AM23" si="9">D24*$C24</f>
        <v>100</v>
      </c>
      <c r="E23" s="10">
        <f t="shared" si="9"/>
        <v>100</v>
      </c>
      <c r="F23" s="10">
        <f t="shared" si="9"/>
        <v>200</v>
      </c>
      <c r="G23" s="10">
        <f t="shared" si="9"/>
        <v>300</v>
      </c>
      <c r="H23" s="10">
        <f t="shared" si="9"/>
        <v>400</v>
      </c>
      <c r="I23" s="10">
        <f t="shared" si="9"/>
        <v>500</v>
      </c>
      <c r="J23" s="10">
        <f t="shared" si="9"/>
        <v>700</v>
      </c>
      <c r="K23" s="10">
        <f t="shared" si="9"/>
        <v>800</v>
      </c>
      <c r="L23" s="10">
        <f t="shared" si="9"/>
        <v>900</v>
      </c>
      <c r="M23" s="10">
        <f t="shared" si="9"/>
        <v>1100</v>
      </c>
      <c r="N23" s="10">
        <f t="shared" si="9"/>
        <v>1300</v>
      </c>
      <c r="O23" s="10">
        <f t="shared" si="9"/>
        <v>1400</v>
      </c>
      <c r="P23" s="10">
        <f t="shared" si="9"/>
        <v>1600</v>
      </c>
      <c r="Q23" s="10">
        <f t="shared" si="9"/>
        <v>1800</v>
      </c>
      <c r="R23" s="10">
        <f t="shared" si="9"/>
        <v>2000</v>
      </c>
      <c r="S23" s="10">
        <f t="shared" si="9"/>
        <v>2200</v>
      </c>
      <c r="T23" s="10">
        <f t="shared" si="9"/>
        <v>2500</v>
      </c>
      <c r="U23" s="10">
        <f t="shared" si="9"/>
        <v>2700</v>
      </c>
      <c r="V23" s="10">
        <f t="shared" si="9"/>
        <v>3000</v>
      </c>
      <c r="W23" s="10">
        <f t="shared" si="9"/>
        <v>3300</v>
      </c>
      <c r="X23" s="10">
        <f t="shared" si="9"/>
        <v>3600</v>
      </c>
      <c r="Y23" s="10">
        <f t="shared" si="9"/>
        <v>3900</v>
      </c>
      <c r="Z23" s="10">
        <f t="shared" si="9"/>
        <v>4300</v>
      </c>
      <c r="AA23" s="10">
        <f t="shared" si="9"/>
        <v>4700</v>
      </c>
      <c r="AB23" s="10">
        <f t="shared" si="9"/>
        <v>5200</v>
      </c>
      <c r="AC23" s="10">
        <f t="shared" si="9"/>
        <v>5700</v>
      </c>
      <c r="AD23" s="10">
        <f t="shared" si="9"/>
        <v>6200</v>
      </c>
      <c r="AE23" s="10">
        <f t="shared" si="9"/>
        <v>6800</v>
      </c>
      <c r="AF23" s="10">
        <f t="shared" si="9"/>
        <v>7400</v>
      </c>
      <c r="AG23" s="10">
        <f t="shared" si="9"/>
        <v>8100</v>
      </c>
      <c r="AH23" s="10">
        <f t="shared" si="9"/>
        <v>8900</v>
      </c>
      <c r="AI23" s="10">
        <f t="shared" si="9"/>
        <v>9700</v>
      </c>
      <c r="AJ23" s="10">
        <f t="shared" si="9"/>
        <v>10700</v>
      </c>
      <c r="AK23" s="10">
        <f t="shared" si="9"/>
        <v>11700</v>
      </c>
      <c r="AL23" s="10">
        <f t="shared" si="9"/>
        <v>12900</v>
      </c>
      <c r="AM23" s="10">
        <f t="shared" si="9"/>
        <v>14200</v>
      </c>
    </row>
    <row r="24">
      <c r="B24" s="6" t="s">
        <v>37</v>
      </c>
      <c r="C24" s="16">
        <v>100.0</v>
      </c>
      <c r="D24" s="17">
        <f t="shared" ref="D24:AM24" si="10">ROUND(D17*$C25,0)</f>
        <v>1</v>
      </c>
      <c r="E24" s="17">
        <f t="shared" si="10"/>
        <v>1</v>
      </c>
      <c r="F24" s="17">
        <f t="shared" si="10"/>
        <v>2</v>
      </c>
      <c r="G24" s="17">
        <f t="shared" si="10"/>
        <v>3</v>
      </c>
      <c r="H24" s="17">
        <f t="shared" si="10"/>
        <v>4</v>
      </c>
      <c r="I24" s="17">
        <f t="shared" si="10"/>
        <v>5</v>
      </c>
      <c r="J24" s="17">
        <f t="shared" si="10"/>
        <v>7</v>
      </c>
      <c r="K24" s="17">
        <f t="shared" si="10"/>
        <v>8</v>
      </c>
      <c r="L24" s="17">
        <f t="shared" si="10"/>
        <v>9</v>
      </c>
      <c r="M24" s="17">
        <f t="shared" si="10"/>
        <v>11</v>
      </c>
      <c r="N24" s="17">
        <f t="shared" si="10"/>
        <v>13</v>
      </c>
      <c r="O24" s="17">
        <f t="shared" si="10"/>
        <v>14</v>
      </c>
      <c r="P24" s="17">
        <f t="shared" si="10"/>
        <v>16</v>
      </c>
      <c r="Q24" s="17">
        <f t="shared" si="10"/>
        <v>18</v>
      </c>
      <c r="R24" s="17">
        <f t="shared" si="10"/>
        <v>20</v>
      </c>
      <c r="S24" s="17">
        <f t="shared" si="10"/>
        <v>22</v>
      </c>
      <c r="T24" s="17">
        <f t="shared" si="10"/>
        <v>25</v>
      </c>
      <c r="U24" s="17">
        <f t="shared" si="10"/>
        <v>27</v>
      </c>
      <c r="V24" s="17">
        <f t="shared" si="10"/>
        <v>30</v>
      </c>
      <c r="W24" s="17">
        <f t="shared" si="10"/>
        <v>33</v>
      </c>
      <c r="X24" s="17">
        <f t="shared" si="10"/>
        <v>36</v>
      </c>
      <c r="Y24" s="17">
        <f t="shared" si="10"/>
        <v>39</v>
      </c>
      <c r="Z24" s="17">
        <f t="shared" si="10"/>
        <v>43</v>
      </c>
      <c r="AA24" s="17">
        <f t="shared" si="10"/>
        <v>47</v>
      </c>
      <c r="AB24" s="17">
        <f t="shared" si="10"/>
        <v>52</v>
      </c>
      <c r="AC24" s="17">
        <f t="shared" si="10"/>
        <v>57</v>
      </c>
      <c r="AD24" s="17">
        <f t="shared" si="10"/>
        <v>62</v>
      </c>
      <c r="AE24" s="17">
        <f t="shared" si="10"/>
        <v>68</v>
      </c>
      <c r="AF24" s="17">
        <f t="shared" si="10"/>
        <v>74</v>
      </c>
      <c r="AG24" s="17">
        <f t="shared" si="10"/>
        <v>81</v>
      </c>
      <c r="AH24" s="17">
        <f t="shared" si="10"/>
        <v>89</v>
      </c>
      <c r="AI24" s="17">
        <f t="shared" si="10"/>
        <v>97</v>
      </c>
      <c r="AJ24" s="17">
        <f t="shared" si="10"/>
        <v>107</v>
      </c>
      <c r="AK24" s="17">
        <f t="shared" si="10"/>
        <v>117</v>
      </c>
      <c r="AL24" s="17">
        <f t="shared" si="10"/>
        <v>129</v>
      </c>
      <c r="AM24" s="17">
        <f t="shared" si="10"/>
        <v>142</v>
      </c>
    </row>
    <row r="25">
      <c r="B25" s="6" t="s">
        <v>38</v>
      </c>
      <c r="C25" s="27">
        <v>0.1</v>
      </c>
      <c r="D25" s="24"/>
    </row>
    <row r="28">
      <c r="A28" s="3" t="s">
        <v>39</v>
      </c>
      <c r="B28" s="4"/>
      <c r="C28" s="4"/>
      <c r="D28" s="5">
        <f t="shared" ref="D28:AM28" si="11">$C30*D31</f>
        <v>0</v>
      </c>
      <c r="E28" s="5">
        <f t="shared" si="11"/>
        <v>0</v>
      </c>
      <c r="F28" s="5">
        <f t="shared" si="11"/>
        <v>0</v>
      </c>
      <c r="G28" s="5">
        <f t="shared" si="11"/>
        <v>3000</v>
      </c>
      <c r="H28" s="5">
        <f t="shared" si="11"/>
        <v>3000</v>
      </c>
      <c r="I28" s="5">
        <f t="shared" si="11"/>
        <v>3000</v>
      </c>
      <c r="J28" s="5">
        <f t="shared" si="11"/>
        <v>3000</v>
      </c>
      <c r="K28" s="5">
        <f t="shared" si="11"/>
        <v>3000</v>
      </c>
      <c r="L28" s="5">
        <f t="shared" si="11"/>
        <v>3000</v>
      </c>
      <c r="M28" s="5">
        <f t="shared" si="11"/>
        <v>3000</v>
      </c>
      <c r="N28" s="5">
        <f t="shared" si="11"/>
        <v>3000</v>
      </c>
      <c r="O28" s="5">
        <f t="shared" si="11"/>
        <v>3000</v>
      </c>
      <c r="P28" s="5">
        <f t="shared" si="11"/>
        <v>3000</v>
      </c>
      <c r="Q28" s="5">
        <f t="shared" si="11"/>
        <v>3000</v>
      </c>
      <c r="R28" s="5">
        <f t="shared" si="11"/>
        <v>3000</v>
      </c>
      <c r="S28" s="5">
        <f t="shared" si="11"/>
        <v>3000</v>
      </c>
      <c r="T28" s="5">
        <f t="shared" si="11"/>
        <v>3000</v>
      </c>
      <c r="U28" s="5">
        <f t="shared" si="11"/>
        <v>3000</v>
      </c>
      <c r="V28" s="5">
        <f t="shared" si="11"/>
        <v>3000</v>
      </c>
      <c r="W28" s="5">
        <f t="shared" si="11"/>
        <v>3000</v>
      </c>
      <c r="X28" s="5">
        <f t="shared" si="11"/>
        <v>3000</v>
      </c>
      <c r="Y28" s="5">
        <f t="shared" si="11"/>
        <v>3000</v>
      </c>
      <c r="Z28" s="5">
        <f t="shared" si="11"/>
        <v>3000</v>
      </c>
      <c r="AA28" s="5">
        <f t="shared" si="11"/>
        <v>3000</v>
      </c>
      <c r="AB28" s="5">
        <f t="shared" si="11"/>
        <v>3000</v>
      </c>
      <c r="AC28" s="5">
        <f t="shared" si="11"/>
        <v>3000</v>
      </c>
      <c r="AD28" s="5">
        <f t="shared" si="11"/>
        <v>3000</v>
      </c>
      <c r="AE28" s="5">
        <f t="shared" si="11"/>
        <v>3000</v>
      </c>
      <c r="AF28" s="5">
        <f t="shared" si="11"/>
        <v>3000</v>
      </c>
      <c r="AG28" s="5">
        <f t="shared" si="11"/>
        <v>3000</v>
      </c>
      <c r="AH28" s="5">
        <f t="shared" si="11"/>
        <v>3000</v>
      </c>
      <c r="AI28" s="5">
        <f t="shared" si="11"/>
        <v>3000</v>
      </c>
      <c r="AJ28" s="5">
        <f t="shared" si="11"/>
        <v>3000</v>
      </c>
      <c r="AK28" s="5">
        <f t="shared" si="11"/>
        <v>3000</v>
      </c>
      <c r="AL28" s="5">
        <f t="shared" si="11"/>
        <v>3000</v>
      </c>
      <c r="AM28" s="5">
        <f t="shared" si="11"/>
        <v>3000</v>
      </c>
    </row>
    <row r="29" ht="16.5" customHeight="1"/>
    <row r="30">
      <c r="A30" s="6" t="s">
        <v>40</v>
      </c>
      <c r="B30" s="16"/>
      <c r="C30" s="16">
        <v>1500.0</v>
      </c>
    </row>
    <row r="31">
      <c r="A31" s="6" t="s">
        <v>41</v>
      </c>
      <c r="D31" s="17">
        <v>0.0</v>
      </c>
      <c r="E31" s="17">
        <v>0.0</v>
      </c>
      <c r="F31" s="17">
        <v>0.0</v>
      </c>
      <c r="G31" s="17">
        <v>2.0</v>
      </c>
      <c r="H31" s="17">
        <v>2.0</v>
      </c>
      <c r="I31" s="17">
        <v>2.0</v>
      </c>
      <c r="J31" s="17">
        <v>2.0</v>
      </c>
      <c r="K31" s="17">
        <v>2.0</v>
      </c>
      <c r="L31" s="17">
        <v>2.0</v>
      </c>
      <c r="M31" s="17">
        <v>2.0</v>
      </c>
      <c r="N31" s="17">
        <v>2.0</v>
      </c>
      <c r="O31" s="17">
        <v>2.0</v>
      </c>
      <c r="P31" s="17">
        <v>2.0</v>
      </c>
      <c r="Q31" s="17">
        <v>2.0</v>
      </c>
      <c r="R31" s="17">
        <v>2.0</v>
      </c>
      <c r="S31" s="17">
        <v>2.0</v>
      </c>
      <c r="T31" s="17">
        <v>2.0</v>
      </c>
      <c r="U31" s="17">
        <v>2.0</v>
      </c>
      <c r="V31" s="17">
        <v>2.0</v>
      </c>
      <c r="W31" s="17">
        <v>2.0</v>
      </c>
      <c r="X31" s="17">
        <v>2.0</v>
      </c>
      <c r="Y31" s="17">
        <v>2.0</v>
      </c>
      <c r="Z31" s="17">
        <v>2.0</v>
      </c>
      <c r="AA31" s="17">
        <v>2.0</v>
      </c>
      <c r="AB31" s="17">
        <v>2.0</v>
      </c>
      <c r="AC31" s="17">
        <v>2.0</v>
      </c>
      <c r="AD31" s="17">
        <v>2.0</v>
      </c>
      <c r="AE31" s="17">
        <v>2.0</v>
      </c>
      <c r="AF31" s="17">
        <v>2.0</v>
      </c>
      <c r="AG31" s="17">
        <v>2.0</v>
      </c>
      <c r="AH31" s="17">
        <v>2.0</v>
      </c>
      <c r="AI31" s="17">
        <v>2.0</v>
      </c>
      <c r="AJ31" s="17">
        <v>2.0</v>
      </c>
      <c r="AK31" s="17">
        <v>2.0</v>
      </c>
      <c r="AL31" s="17">
        <v>2.0</v>
      </c>
      <c r="AM31" s="17">
        <v>2.0</v>
      </c>
    </row>
    <row r="34" ht="16.5" customHeight="1"/>
    <row r="1004">
      <c r="A1004" s="6" t="s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D1" s="31">
        <v>46112.0</v>
      </c>
      <c r="E1" s="31">
        <f t="shared" ref="E1:AM1" si="1">EOMONTH(D1,1)</f>
        <v>46142</v>
      </c>
      <c r="F1" s="31">
        <f t="shared" si="1"/>
        <v>46173</v>
      </c>
      <c r="G1" s="31">
        <f t="shared" si="1"/>
        <v>46203</v>
      </c>
      <c r="H1" s="31">
        <f t="shared" si="1"/>
        <v>46234</v>
      </c>
      <c r="I1" s="31">
        <f t="shared" si="1"/>
        <v>46265</v>
      </c>
      <c r="J1" s="31">
        <f t="shared" si="1"/>
        <v>46295</v>
      </c>
      <c r="K1" s="31">
        <f t="shared" si="1"/>
        <v>46326</v>
      </c>
      <c r="L1" s="31">
        <f t="shared" si="1"/>
        <v>46356</v>
      </c>
      <c r="M1" s="31">
        <f t="shared" si="1"/>
        <v>46387</v>
      </c>
      <c r="N1" s="31">
        <f t="shared" si="1"/>
        <v>46418</v>
      </c>
      <c r="O1" s="31">
        <f t="shared" si="1"/>
        <v>46446</v>
      </c>
      <c r="P1" s="31">
        <f t="shared" si="1"/>
        <v>46477</v>
      </c>
      <c r="Q1" s="31">
        <f t="shared" si="1"/>
        <v>46507</v>
      </c>
      <c r="R1" s="31">
        <f t="shared" si="1"/>
        <v>46538</v>
      </c>
      <c r="S1" s="31">
        <f t="shared" si="1"/>
        <v>46568</v>
      </c>
      <c r="T1" s="31">
        <f t="shared" si="1"/>
        <v>46599</v>
      </c>
      <c r="U1" s="31">
        <f t="shared" si="1"/>
        <v>46630</v>
      </c>
      <c r="V1" s="31">
        <f t="shared" si="1"/>
        <v>46660</v>
      </c>
      <c r="W1" s="31">
        <f t="shared" si="1"/>
        <v>46691</v>
      </c>
      <c r="X1" s="31">
        <f t="shared" si="1"/>
        <v>46721</v>
      </c>
      <c r="Y1" s="31">
        <f t="shared" si="1"/>
        <v>46752</v>
      </c>
      <c r="Z1" s="31">
        <f t="shared" si="1"/>
        <v>46783</v>
      </c>
      <c r="AA1" s="31">
        <f t="shared" si="1"/>
        <v>46812</v>
      </c>
      <c r="AB1" s="31">
        <f t="shared" si="1"/>
        <v>46843</v>
      </c>
      <c r="AC1" s="31">
        <f t="shared" si="1"/>
        <v>46873</v>
      </c>
      <c r="AD1" s="31">
        <f t="shared" si="1"/>
        <v>46904</v>
      </c>
      <c r="AE1" s="31">
        <f t="shared" si="1"/>
        <v>46934</v>
      </c>
      <c r="AF1" s="31">
        <f t="shared" si="1"/>
        <v>46965</v>
      </c>
      <c r="AG1" s="31">
        <f t="shared" si="1"/>
        <v>46996</v>
      </c>
      <c r="AH1" s="31">
        <f t="shared" si="1"/>
        <v>47026</v>
      </c>
      <c r="AI1" s="31">
        <f t="shared" si="1"/>
        <v>47057</v>
      </c>
      <c r="AJ1" s="31">
        <f t="shared" si="1"/>
        <v>47087</v>
      </c>
      <c r="AK1" s="31">
        <f t="shared" si="1"/>
        <v>47118</v>
      </c>
      <c r="AL1" s="31">
        <f t="shared" si="1"/>
        <v>47149</v>
      </c>
      <c r="AM1" s="31">
        <f t="shared" si="1"/>
        <v>47177</v>
      </c>
      <c r="AN1" s="31"/>
    </row>
    <row r="2">
      <c r="A2" s="32" t="s">
        <v>42</v>
      </c>
      <c r="D2" s="33">
        <v>1.0</v>
      </c>
      <c r="E2" s="33">
        <v>2.0</v>
      </c>
      <c r="F2" s="33">
        <v>3.0</v>
      </c>
      <c r="G2" s="33">
        <v>4.0</v>
      </c>
      <c r="H2" s="33">
        <v>5.0</v>
      </c>
      <c r="I2" s="33">
        <v>6.0</v>
      </c>
      <c r="J2" s="33">
        <v>7.0</v>
      </c>
      <c r="K2" s="33">
        <v>8.0</v>
      </c>
      <c r="L2" s="33">
        <v>9.0</v>
      </c>
      <c r="M2" s="33">
        <v>10.0</v>
      </c>
      <c r="N2" s="33">
        <v>11.0</v>
      </c>
      <c r="O2" s="33">
        <v>12.0</v>
      </c>
      <c r="P2" s="33">
        <v>13.0</v>
      </c>
      <c r="Q2" s="33">
        <v>14.0</v>
      </c>
      <c r="R2" s="33">
        <v>15.0</v>
      </c>
      <c r="S2" s="33">
        <v>16.0</v>
      </c>
      <c r="T2" s="33">
        <v>17.0</v>
      </c>
      <c r="U2" s="33">
        <v>18.0</v>
      </c>
      <c r="V2" s="33">
        <v>19.0</v>
      </c>
      <c r="W2" s="33">
        <v>20.0</v>
      </c>
      <c r="X2" s="33">
        <v>21.0</v>
      </c>
      <c r="Y2" s="33">
        <v>22.0</v>
      </c>
      <c r="Z2" s="33">
        <v>23.0</v>
      </c>
      <c r="AA2" s="33">
        <v>24.0</v>
      </c>
      <c r="AB2" s="33">
        <v>25.0</v>
      </c>
      <c r="AC2" s="33">
        <v>26.0</v>
      </c>
      <c r="AD2" s="33">
        <v>27.0</v>
      </c>
      <c r="AE2" s="33">
        <v>28.0</v>
      </c>
      <c r="AF2" s="33">
        <v>29.0</v>
      </c>
      <c r="AG2" s="33">
        <v>30.0</v>
      </c>
      <c r="AH2" s="33">
        <v>31.0</v>
      </c>
      <c r="AI2" s="33">
        <v>32.0</v>
      </c>
      <c r="AJ2" s="33">
        <v>33.0</v>
      </c>
      <c r="AK2" s="33">
        <v>34.0</v>
      </c>
      <c r="AL2" s="33">
        <v>35.0</v>
      </c>
      <c r="AM2" s="33">
        <v>36.0</v>
      </c>
    </row>
    <row r="4">
      <c r="A4" s="6" t="s">
        <v>43</v>
      </c>
    </row>
    <row r="5">
      <c r="B5" s="6" t="s">
        <v>44</v>
      </c>
      <c r="D5" s="33">
        <v>30.0</v>
      </c>
      <c r="E5" s="33">
        <f t="shared" ref="E5:AM5" si="2">D5</f>
        <v>30</v>
      </c>
      <c r="F5" s="33">
        <f t="shared" si="2"/>
        <v>30</v>
      </c>
      <c r="G5" s="33">
        <f t="shared" si="2"/>
        <v>30</v>
      </c>
      <c r="H5" s="33">
        <f t="shared" si="2"/>
        <v>30</v>
      </c>
      <c r="I5" s="33">
        <f t="shared" si="2"/>
        <v>30</v>
      </c>
      <c r="J5" s="33">
        <f t="shared" si="2"/>
        <v>30</v>
      </c>
      <c r="K5" s="33">
        <f t="shared" si="2"/>
        <v>30</v>
      </c>
      <c r="L5" s="33">
        <f t="shared" si="2"/>
        <v>30</v>
      </c>
      <c r="M5" s="33">
        <f t="shared" si="2"/>
        <v>30</v>
      </c>
      <c r="N5" s="33">
        <f t="shared" si="2"/>
        <v>30</v>
      </c>
      <c r="O5" s="33">
        <f t="shared" si="2"/>
        <v>30</v>
      </c>
      <c r="P5" s="33">
        <f t="shared" si="2"/>
        <v>30</v>
      </c>
      <c r="Q5" s="33">
        <f t="shared" si="2"/>
        <v>30</v>
      </c>
      <c r="R5" s="33">
        <f t="shared" si="2"/>
        <v>30</v>
      </c>
      <c r="S5" s="33">
        <f t="shared" si="2"/>
        <v>30</v>
      </c>
      <c r="T5" s="33">
        <f t="shared" si="2"/>
        <v>30</v>
      </c>
      <c r="U5" s="33">
        <f t="shared" si="2"/>
        <v>30</v>
      </c>
      <c r="V5" s="33">
        <f t="shared" si="2"/>
        <v>30</v>
      </c>
      <c r="W5" s="33">
        <f t="shared" si="2"/>
        <v>30</v>
      </c>
      <c r="X5" s="33">
        <f t="shared" si="2"/>
        <v>30</v>
      </c>
      <c r="Y5" s="33">
        <f t="shared" si="2"/>
        <v>30</v>
      </c>
      <c r="Z5" s="33">
        <f t="shared" si="2"/>
        <v>30</v>
      </c>
      <c r="AA5" s="33">
        <f t="shared" si="2"/>
        <v>30</v>
      </c>
      <c r="AB5" s="33">
        <f t="shared" si="2"/>
        <v>30</v>
      </c>
      <c r="AC5" s="33">
        <f t="shared" si="2"/>
        <v>30</v>
      </c>
      <c r="AD5" s="33">
        <f t="shared" si="2"/>
        <v>30</v>
      </c>
      <c r="AE5" s="33">
        <f t="shared" si="2"/>
        <v>30</v>
      </c>
      <c r="AF5" s="33">
        <f t="shared" si="2"/>
        <v>30</v>
      </c>
      <c r="AG5" s="33">
        <f t="shared" si="2"/>
        <v>30</v>
      </c>
      <c r="AH5" s="33">
        <f t="shared" si="2"/>
        <v>30</v>
      </c>
      <c r="AI5" s="33">
        <f t="shared" si="2"/>
        <v>30</v>
      </c>
      <c r="AJ5" s="33">
        <f t="shared" si="2"/>
        <v>30</v>
      </c>
      <c r="AK5" s="33">
        <f t="shared" si="2"/>
        <v>30</v>
      </c>
      <c r="AL5" s="33">
        <f t="shared" si="2"/>
        <v>30</v>
      </c>
      <c r="AM5" s="33">
        <f t="shared" si="2"/>
        <v>30</v>
      </c>
    </row>
    <row r="6">
      <c r="B6" s="6" t="s">
        <v>45</v>
      </c>
      <c r="D6" s="33">
        <f>D5</f>
        <v>30</v>
      </c>
      <c r="E6" s="33">
        <f t="shared" ref="E6:AM6" si="3">E5+D6</f>
        <v>60</v>
      </c>
      <c r="F6" s="33">
        <f t="shared" si="3"/>
        <v>90</v>
      </c>
      <c r="G6" s="33">
        <f t="shared" si="3"/>
        <v>120</v>
      </c>
      <c r="H6" s="33">
        <f t="shared" si="3"/>
        <v>150</v>
      </c>
      <c r="I6" s="33">
        <f t="shared" si="3"/>
        <v>180</v>
      </c>
      <c r="J6" s="33">
        <f t="shared" si="3"/>
        <v>210</v>
      </c>
      <c r="K6" s="33">
        <f t="shared" si="3"/>
        <v>240</v>
      </c>
      <c r="L6" s="33">
        <f t="shared" si="3"/>
        <v>270</v>
      </c>
      <c r="M6" s="33">
        <f t="shared" si="3"/>
        <v>300</v>
      </c>
      <c r="N6" s="33">
        <f t="shared" si="3"/>
        <v>330</v>
      </c>
      <c r="O6" s="33">
        <f t="shared" si="3"/>
        <v>360</v>
      </c>
      <c r="P6" s="33">
        <f t="shared" si="3"/>
        <v>390</v>
      </c>
      <c r="Q6" s="33">
        <f t="shared" si="3"/>
        <v>420</v>
      </c>
      <c r="R6" s="33">
        <f t="shared" si="3"/>
        <v>450</v>
      </c>
      <c r="S6" s="33">
        <f t="shared" si="3"/>
        <v>480</v>
      </c>
      <c r="T6" s="33">
        <f t="shared" si="3"/>
        <v>510</v>
      </c>
      <c r="U6" s="33">
        <f t="shared" si="3"/>
        <v>540</v>
      </c>
      <c r="V6" s="33">
        <f t="shared" si="3"/>
        <v>570</v>
      </c>
      <c r="W6" s="33">
        <f t="shared" si="3"/>
        <v>600</v>
      </c>
      <c r="X6" s="33">
        <f t="shared" si="3"/>
        <v>630</v>
      </c>
      <c r="Y6" s="33">
        <f t="shared" si="3"/>
        <v>660</v>
      </c>
      <c r="Z6" s="33">
        <f t="shared" si="3"/>
        <v>690</v>
      </c>
      <c r="AA6" s="33">
        <f t="shared" si="3"/>
        <v>720</v>
      </c>
      <c r="AB6" s="33">
        <f t="shared" si="3"/>
        <v>750</v>
      </c>
      <c r="AC6" s="33">
        <f t="shared" si="3"/>
        <v>780</v>
      </c>
      <c r="AD6" s="33">
        <f t="shared" si="3"/>
        <v>810</v>
      </c>
      <c r="AE6" s="33">
        <f t="shared" si="3"/>
        <v>840</v>
      </c>
      <c r="AF6" s="33">
        <f t="shared" si="3"/>
        <v>870</v>
      </c>
      <c r="AG6" s="33">
        <f t="shared" si="3"/>
        <v>900</v>
      </c>
      <c r="AH6" s="33">
        <f t="shared" si="3"/>
        <v>930</v>
      </c>
      <c r="AI6" s="33">
        <f t="shared" si="3"/>
        <v>960</v>
      </c>
      <c r="AJ6" s="33">
        <f t="shared" si="3"/>
        <v>990</v>
      </c>
      <c r="AK6" s="33">
        <f t="shared" si="3"/>
        <v>1020</v>
      </c>
      <c r="AL6" s="33">
        <f t="shared" si="3"/>
        <v>1050</v>
      </c>
      <c r="AM6" s="33">
        <f t="shared" si="3"/>
        <v>1080</v>
      </c>
    </row>
    <row r="7"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</row>
    <row r="9">
      <c r="A9" s="6" t="s">
        <v>46</v>
      </c>
      <c r="D9" s="33" t="s">
        <v>47</v>
      </c>
      <c r="E9" s="33" t="s">
        <v>48</v>
      </c>
      <c r="F9" s="33" t="s">
        <v>48</v>
      </c>
      <c r="G9" s="33" t="s">
        <v>49</v>
      </c>
      <c r="H9" s="33" t="s">
        <v>49</v>
      </c>
      <c r="I9" s="33" t="s">
        <v>50</v>
      </c>
      <c r="J9" s="33" t="s">
        <v>50</v>
      </c>
      <c r="K9" s="33" t="s">
        <v>51</v>
      </c>
      <c r="L9" s="33" t="s">
        <v>52</v>
      </c>
      <c r="M9" s="33" t="s">
        <v>53</v>
      </c>
      <c r="N9" s="33" t="s">
        <v>53</v>
      </c>
      <c r="O9" s="33" t="s">
        <v>54</v>
      </c>
      <c r="P9" s="33" t="s">
        <v>55</v>
      </c>
      <c r="Q9" s="33" t="s">
        <v>56</v>
      </c>
      <c r="R9" s="33" t="s">
        <v>57</v>
      </c>
      <c r="S9" s="33" t="s">
        <v>58</v>
      </c>
      <c r="T9" s="33" t="s">
        <v>59</v>
      </c>
      <c r="U9" s="33" t="s">
        <v>60</v>
      </c>
      <c r="V9" s="33" t="s">
        <v>61</v>
      </c>
      <c r="W9" s="33" t="s">
        <v>62</v>
      </c>
      <c r="X9" s="33" t="s">
        <v>63</v>
      </c>
      <c r="Y9" s="33" t="s">
        <v>64</v>
      </c>
      <c r="Z9" s="33" t="s">
        <v>65</v>
      </c>
      <c r="AA9" s="33" t="s">
        <v>66</v>
      </c>
      <c r="AB9" s="33" t="s">
        <v>67</v>
      </c>
      <c r="AC9" s="33" t="s">
        <v>68</v>
      </c>
      <c r="AD9" s="33" t="s">
        <v>69</v>
      </c>
      <c r="AE9" s="33" t="s">
        <v>70</v>
      </c>
      <c r="AF9" s="33" t="s">
        <v>71</v>
      </c>
      <c r="AG9" s="33" t="s">
        <v>72</v>
      </c>
      <c r="AH9" s="33" t="s">
        <v>73</v>
      </c>
      <c r="AI9" s="33" t="s">
        <v>74</v>
      </c>
      <c r="AJ9" s="33" t="s">
        <v>75</v>
      </c>
      <c r="AK9" s="33" t="s">
        <v>76</v>
      </c>
      <c r="AL9" s="33" t="s">
        <v>77</v>
      </c>
      <c r="AM9" s="33" t="s">
        <v>78</v>
      </c>
    </row>
    <row r="10">
      <c r="B10" s="6" t="s">
        <v>79</v>
      </c>
      <c r="D10" s="33">
        <v>0.0</v>
      </c>
      <c r="E10" s="33">
        <v>0.0</v>
      </c>
      <c r="F10" s="33">
        <v>1.0</v>
      </c>
      <c r="G10" s="33">
        <v>1.0</v>
      </c>
      <c r="H10" s="33">
        <v>2.0</v>
      </c>
      <c r="I10" s="33">
        <v>2.0</v>
      </c>
      <c r="J10" s="33">
        <v>3.0</v>
      </c>
      <c r="K10" s="33">
        <v>4.0</v>
      </c>
      <c r="L10" s="33">
        <v>5.0</v>
      </c>
      <c r="M10" s="33">
        <v>6.0</v>
      </c>
      <c r="N10" s="33">
        <v>7.0</v>
      </c>
      <c r="O10" s="33">
        <v>8.0</v>
      </c>
      <c r="P10" s="33">
        <v>10.0</v>
      </c>
      <c r="Q10" s="33">
        <v>12.0</v>
      </c>
      <c r="R10" s="33">
        <v>14.0</v>
      </c>
      <c r="S10" s="33">
        <v>16.0</v>
      </c>
      <c r="T10" s="33">
        <v>19.0</v>
      </c>
      <c r="U10" s="33">
        <v>23.0</v>
      </c>
      <c r="V10" s="33">
        <v>26.0</v>
      </c>
      <c r="W10" s="33">
        <v>31.0</v>
      </c>
      <c r="X10" s="33">
        <v>36.0</v>
      </c>
      <c r="Y10" s="33">
        <v>42.0</v>
      </c>
      <c r="Z10" s="33">
        <v>48.0</v>
      </c>
      <c r="AA10" s="33">
        <v>56.0</v>
      </c>
      <c r="AB10" s="33">
        <v>65.0</v>
      </c>
      <c r="AC10" s="33">
        <v>75.0</v>
      </c>
      <c r="AD10" s="33">
        <v>87.0</v>
      </c>
      <c r="AE10" s="33">
        <v>101.0</v>
      </c>
      <c r="AF10" s="33">
        <v>117.0</v>
      </c>
      <c r="AG10" s="33">
        <v>135.0</v>
      </c>
      <c r="AH10" s="33">
        <v>156.0</v>
      </c>
      <c r="AI10" s="33">
        <v>181.0</v>
      </c>
      <c r="AJ10" s="33">
        <v>210.0</v>
      </c>
      <c r="AK10" s="33">
        <v>244.0</v>
      </c>
      <c r="AL10" s="33">
        <v>283.0</v>
      </c>
      <c r="AM10" s="33">
        <v>329.0</v>
      </c>
    </row>
    <row r="11">
      <c r="B11" s="6" t="s">
        <v>80</v>
      </c>
      <c r="D11" s="33">
        <v>0.0</v>
      </c>
      <c r="E11" s="33">
        <f t="shared" ref="E11:AM11" si="4">E10+D11</f>
        <v>0</v>
      </c>
      <c r="F11" s="33">
        <f t="shared" si="4"/>
        <v>1</v>
      </c>
      <c r="G11" s="33">
        <f t="shared" si="4"/>
        <v>2</v>
      </c>
      <c r="H11" s="33">
        <f t="shared" si="4"/>
        <v>4</v>
      </c>
      <c r="I11" s="33">
        <f t="shared" si="4"/>
        <v>6</v>
      </c>
      <c r="J11" s="33">
        <f t="shared" si="4"/>
        <v>9</v>
      </c>
      <c r="K11" s="33">
        <f t="shared" si="4"/>
        <v>13</v>
      </c>
      <c r="L11" s="33">
        <f t="shared" si="4"/>
        <v>18</v>
      </c>
      <c r="M11" s="33">
        <f t="shared" si="4"/>
        <v>24</v>
      </c>
      <c r="N11" s="33">
        <f t="shared" si="4"/>
        <v>31</v>
      </c>
      <c r="O11" s="33">
        <f t="shared" si="4"/>
        <v>39</v>
      </c>
      <c r="P11" s="33">
        <f t="shared" si="4"/>
        <v>49</v>
      </c>
      <c r="Q11" s="33">
        <f t="shared" si="4"/>
        <v>61</v>
      </c>
      <c r="R11" s="33">
        <f t="shared" si="4"/>
        <v>75</v>
      </c>
      <c r="S11" s="33">
        <f t="shared" si="4"/>
        <v>91</v>
      </c>
      <c r="T11" s="33">
        <f t="shared" si="4"/>
        <v>110</v>
      </c>
      <c r="U11" s="33">
        <f t="shared" si="4"/>
        <v>133</v>
      </c>
      <c r="V11" s="33">
        <f t="shared" si="4"/>
        <v>159</v>
      </c>
      <c r="W11" s="33">
        <f t="shared" si="4"/>
        <v>190</v>
      </c>
      <c r="X11" s="33">
        <f t="shared" si="4"/>
        <v>226</v>
      </c>
      <c r="Y11" s="33">
        <f t="shared" si="4"/>
        <v>268</v>
      </c>
      <c r="Z11" s="33">
        <f t="shared" si="4"/>
        <v>316</v>
      </c>
      <c r="AA11" s="33">
        <f t="shared" si="4"/>
        <v>372</v>
      </c>
      <c r="AB11" s="33">
        <f t="shared" si="4"/>
        <v>437</v>
      </c>
      <c r="AC11" s="33">
        <f t="shared" si="4"/>
        <v>512</v>
      </c>
      <c r="AD11" s="33">
        <f t="shared" si="4"/>
        <v>599</v>
      </c>
      <c r="AE11" s="33">
        <f t="shared" si="4"/>
        <v>700</v>
      </c>
      <c r="AF11" s="33">
        <f t="shared" si="4"/>
        <v>817</v>
      </c>
      <c r="AG11" s="33">
        <f t="shared" si="4"/>
        <v>952</v>
      </c>
      <c r="AH11" s="33">
        <f t="shared" si="4"/>
        <v>1108</v>
      </c>
      <c r="AI11" s="33">
        <f t="shared" si="4"/>
        <v>1289</v>
      </c>
      <c r="AJ11" s="33">
        <f t="shared" si="4"/>
        <v>1499</v>
      </c>
      <c r="AK11" s="33">
        <f t="shared" si="4"/>
        <v>1743</v>
      </c>
      <c r="AL11" s="33">
        <f t="shared" si="4"/>
        <v>2026</v>
      </c>
      <c r="AM11" s="33">
        <f t="shared" si="4"/>
        <v>2355</v>
      </c>
    </row>
    <row r="12"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</row>
    <row r="13">
      <c r="A13" s="6" t="s">
        <v>81</v>
      </c>
    </row>
    <row r="14">
      <c r="B14" s="6" t="s">
        <v>44</v>
      </c>
      <c r="D14" s="33">
        <v>0.0</v>
      </c>
      <c r="E14" s="33">
        <v>0.0</v>
      </c>
      <c r="F14" s="33">
        <v>0.0</v>
      </c>
      <c r="G14" s="33">
        <v>25.0</v>
      </c>
      <c r="H14" s="33">
        <v>27.0</v>
      </c>
      <c r="I14" s="33">
        <v>29.0</v>
      </c>
      <c r="J14" s="33">
        <v>32.0</v>
      </c>
      <c r="K14" s="33">
        <v>34.0</v>
      </c>
      <c r="L14" s="33">
        <v>37.0</v>
      </c>
      <c r="M14" s="33">
        <v>40.0</v>
      </c>
      <c r="N14" s="33">
        <v>43.0</v>
      </c>
      <c r="O14" s="33">
        <v>47.0</v>
      </c>
      <c r="P14" s="33">
        <v>50.0</v>
      </c>
      <c r="Q14" s="33">
        <v>54.0</v>
      </c>
      <c r="R14" s="33">
        <v>59.0</v>
      </c>
      <c r="S14" s="33">
        <v>63.0</v>
      </c>
      <c r="T14" s="33">
        <v>69.0</v>
      </c>
      <c r="U14" s="33">
        <v>74.0</v>
      </c>
      <c r="V14" s="33">
        <v>80.0</v>
      </c>
      <c r="W14" s="33">
        <v>86.0</v>
      </c>
      <c r="X14" s="33">
        <v>93.0</v>
      </c>
      <c r="Y14" s="33">
        <v>101.0</v>
      </c>
      <c r="Z14" s="33">
        <v>109.0</v>
      </c>
      <c r="AA14" s="33">
        <v>117.0</v>
      </c>
      <c r="AB14" s="33">
        <v>127.0</v>
      </c>
      <c r="AC14" s="33">
        <v>137.0</v>
      </c>
      <c r="AD14" s="33">
        <v>148.0</v>
      </c>
      <c r="AE14" s="33">
        <v>160.0</v>
      </c>
      <c r="AF14" s="33">
        <v>173.0</v>
      </c>
      <c r="AG14" s="33">
        <v>186.0</v>
      </c>
      <c r="AH14" s="33">
        <v>201.0</v>
      </c>
      <c r="AI14" s="33">
        <v>217.0</v>
      </c>
      <c r="AJ14" s="33">
        <v>235.0</v>
      </c>
      <c r="AK14" s="33">
        <v>254.0</v>
      </c>
      <c r="AL14" s="33">
        <v>274.0</v>
      </c>
      <c r="AM14" s="33">
        <v>296.0</v>
      </c>
    </row>
    <row r="15">
      <c r="B15" s="6" t="s">
        <v>45</v>
      </c>
      <c r="D15" s="33">
        <f>D14</f>
        <v>0</v>
      </c>
      <c r="E15" s="33">
        <f t="shared" ref="E15:AM15" si="5">E14+D15</f>
        <v>0</v>
      </c>
      <c r="F15" s="33">
        <f t="shared" si="5"/>
        <v>0</v>
      </c>
      <c r="G15" s="33">
        <f t="shared" si="5"/>
        <v>25</v>
      </c>
      <c r="H15" s="33">
        <f t="shared" si="5"/>
        <v>52</v>
      </c>
      <c r="I15" s="33">
        <f t="shared" si="5"/>
        <v>81</v>
      </c>
      <c r="J15" s="33">
        <f t="shared" si="5"/>
        <v>113</v>
      </c>
      <c r="K15" s="33">
        <f t="shared" si="5"/>
        <v>147</v>
      </c>
      <c r="L15" s="33">
        <f t="shared" si="5"/>
        <v>184</v>
      </c>
      <c r="M15" s="33">
        <f t="shared" si="5"/>
        <v>224</v>
      </c>
      <c r="N15" s="33">
        <f t="shared" si="5"/>
        <v>267</v>
      </c>
      <c r="O15" s="33">
        <f t="shared" si="5"/>
        <v>314</v>
      </c>
      <c r="P15" s="33">
        <f t="shared" si="5"/>
        <v>364</v>
      </c>
      <c r="Q15" s="33">
        <f t="shared" si="5"/>
        <v>418</v>
      </c>
      <c r="R15" s="33">
        <f t="shared" si="5"/>
        <v>477</v>
      </c>
      <c r="S15" s="33">
        <f t="shared" si="5"/>
        <v>540</v>
      </c>
      <c r="T15" s="33">
        <f t="shared" si="5"/>
        <v>609</v>
      </c>
      <c r="U15" s="33">
        <f t="shared" si="5"/>
        <v>683</v>
      </c>
      <c r="V15" s="33">
        <f t="shared" si="5"/>
        <v>763</v>
      </c>
      <c r="W15" s="33">
        <f t="shared" si="5"/>
        <v>849</v>
      </c>
      <c r="X15" s="33">
        <f t="shared" si="5"/>
        <v>942</v>
      </c>
      <c r="Y15" s="33">
        <f t="shared" si="5"/>
        <v>1043</v>
      </c>
      <c r="Z15" s="33">
        <f t="shared" si="5"/>
        <v>1152</v>
      </c>
      <c r="AA15" s="33">
        <f t="shared" si="5"/>
        <v>1269</v>
      </c>
      <c r="AB15" s="33">
        <f t="shared" si="5"/>
        <v>1396</v>
      </c>
      <c r="AC15" s="33">
        <f t="shared" si="5"/>
        <v>1533</v>
      </c>
      <c r="AD15" s="33">
        <f t="shared" si="5"/>
        <v>1681</v>
      </c>
      <c r="AE15" s="33">
        <f t="shared" si="5"/>
        <v>1841</v>
      </c>
      <c r="AF15" s="33">
        <f t="shared" si="5"/>
        <v>2014</v>
      </c>
      <c r="AG15" s="33">
        <f t="shared" si="5"/>
        <v>2200</v>
      </c>
      <c r="AH15" s="33">
        <f t="shared" si="5"/>
        <v>2401</v>
      </c>
      <c r="AI15" s="33">
        <f t="shared" si="5"/>
        <v>2618</v>
      </c>
      <c r="AJ15" s="33">
        <f t="shared" si="5"/>
        <v>2853</v>
      </c>
      <c r="AK15" s="33">
        <f t="shared" si="5"/>
        <v>3107</v>
      </c>
      <c r="AL15" s="33">
        <f t="shared" si="5"/>
        <v>3381</v>
      </c>
      <c r="AM15" s="33">
        <f t="shared" si="5"/>
        <v>3677</v>
      </c>
    </row>
    <row r="16"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</row>
    <row r="18">
      <c r="A18" s="6" t="s">
        <v>82</v>
      </c>
      <c r="D18" s="33">
        <f t="shared" ref="D18:AM18" si="6">SUM(D14,D10,D5,)</f>
        <v>30</v>
      </c>
      <c r="E18" s="33">
        <f t="shared" si="6"/>
        <v>30</v>
      </c>
      <c r="F18" s="33">
        <f t="shared" si="6"/>
        <v>31</v>
      </c>
      <c r="G18" s="33">
        <f t="shared" si="6"/>
        <v>56</v>
      </c>
      <c r="H18" s="33">
        <f t="shared" si="6"/>
        <v>59</v>
      </c>
      <c r="I18" s="33">
        <f t="shared" si="6"/>
        <v>61</v>
      </c>
      <c r="J18" s="33">
        <f t="shared" si="6"/>
        <v>65</v>
      </c>
      <c r="K18" s="33">
        <f t="shared" si="6"/>
        <v>68</v>
      </c>
      <c r="L18" s="33">
        <f t="shared" si="6"/>
        <v>72</v>
      </c>
      <c r="M18" s="33">
        <f t="shared" si="6"/>
        <v>76</v>
      </c>
      <c r="N18" s="33">
        <f t="shared" si="6"/>
        <v>80</v>
      </c>
      <c r="O18" s="33">
        <f t="shared" si="6"/>
        <v>85</v>
      </c>
      <c r="P18" s="33">
        <f t="shared" si="6"/>
        <v>90</v>
      </c>
      <c r="Q18" s="33">
        <f t="shared" si="6"/>
        <v>96</v>
      </c>
      <c r="R18" s="33">
        <f t="shared" si="6"/>
        <v>103</v>
      </c>
      <c r="S18" s="33">
        <f t="shared" si="6"/>
        <v>109</v>
      </c>
      <c r="T18" s="33">
        <f t="shared" si="6"/>
        <v>118</v>
      </c>
      <c r="U18" s="33">
        <f t="shared" si="6"/>
        <v>127</v>
      </c>
      <c r="V18" s="33">
        <f t="shared" si="6"/>
        <v>136</v>
      </c>
      <c r="W18" s="33">
        <f t="shared" si="6"/>
        <v>147</v>
      </c>
      <c r="X18" s="33">
        <f t="shared" si="6"/>
        <v>159</v>
      </c>
      <c r="Y18" s="33">
        <f t="shared" si="6"/>
        <v>173</v>
      </c>
      <c r="Z18" s="33">
        <f t="shared" si="6"/>
        <v>187</v>
      </c>
      <c r="AA18" s="33">
        <f t="shared" si="6"/>
        <v>203</v>
      </c>
      <c r="AB18" s="33">
        <f t="shared" si="6"/>
        <v>222</v>
      </c>
      <c r="AC18" s="33">
        <f t="shared" si="6"/>
        <v>242</v>
      </c>
      <c r="AD18" s="33">
        <f t="shared" si="6"/>
        <v>265</v>
      </c>
      <c r="AE18" s="33">
        <f t="shared" si="6"/>
        <v>291</v>
      </c>
      <c r="AF18" s="33">
        <f t="shared" si="6"/>
        <v>320</v>
      </c>
      <c r="AG18" s="33">
        <f t="shared" si="6"/>
        <v>351</v>
      </c>
      <c r="AH18" s="33">
        <f t="shared" si="6"/>
        <v>387</v>
      </c>
      <c r="AI18" s="33">
        <f t="shared" si="6"/>
        <v>428</v>
      </c>
      <c r="AJ18" s="33">
        <f t="shared" si="6"/>
        <v>475</v>
      </c>
      <c r="AK18" s="33">
        <f t="shared" si="6"/>
        <v>528</v>
      </c>
      <c r="AL18" s="33">
        <f t="shared" si="6"/>
        <v>587</v>
      </c>
      <c r="AM18" s="33">
        <f t="shared" si="6"/>
        <v>655</v>
      </c>
    </row>
    <row r="19">
      <c r="A19" s="6" t="s">
        <v>83</v>
      </c>
      <c r="D19" s="33">
        <f>D18</f>
        <v>30</v>
      </c>
      <c r="E19" s="33">
        <f t="shared" ref="E19:AM19" si="7">E18+D19</f>
        <v>60</v>
      </c>
      <c r="F19" s="33">
        <f t="shared" si="7"/>
        <v>91</v>
      </c>
      <c r="G19" s="33">
        <f t="shared" si="7"/>
        <v>147</v>
      </c>
      <c r="H19" s="33">
        <f t="shared" si="7"/>
        <v>206</v>
      </c>
      <c r="I19" s="33">
        <f t="shared" si="7"/>
        <v>267</v>
      </c>
      <c r="J19" s="33">
        <f t="shared" si="7"/>
        <v>332</v>
      </c>
      <c r="K19" s="33">
        <f t="shared" si="7"/>
        <v>400</v>
      </c>
      <c r="L19" s="33">
        <f t="shared" si="7"/>
        <v>472</v>
      </c>
      <c r="M19" s="33">
        <f t="shared" si="7"/>
        <v>548</v>
      </c>
      <c r="N19" s="33">
        <f t="shared" si="7"/>
        <v>628</v>
      </c>
      <c r="O19" s="33">
        <f t="shared" si="7"/>
        <v>713</v>
      </c>
      <c r="P19" s="33">
        <f t="shared" si="7"/>
        <v>803</v>
      </c>
      <c r="Q19" s="33">
        <f t="shared" si="7"/>
        <v>899</v>
      </c>
      <c r="R19" s="33">
        <f t="shared" si="7"/>
        <v>1002</v>
      </c>
      <c r="S19" s="33">
        <f t="shared" si="7"/>
        <v>1111</v>
      </c>
      <c r="T19" s="33">
        <f t="shared" si="7"/>
        <v>1229</v>
      </c>
      <c r="U19" s="33">
        <f t="shared" si="7"/>
        <v>1356</v>
      </c>
      <c r="V19" s="33">
        <f t="shared" si="7"/>
        <v>1492</v>
      </c>
      <c r="W19" s="33">
        <f t="shared" si="7"/>
        <v>1639</v>
      </c>
      <c r="X19" s="33">
        <f t="shared" si="7"/>
        <v>1798</v>
      </c>
      <c r="Y19" s="33">
        <f t="shared" si="7"/>
        <v>1971</v>
      </c>
      <c r="Z19" s="33">
        <f t="shared" si="7"/>
        <v>2158</v>
      </c>
      <c r="AA19" s="33">
        <f t="shared" si="7"/>
        <v>2361</v>
      </c>
      <c r="AB19" s="33">
        <f t="shared" si="7"/>
        <v>2583</v>
      </c>
      <c r="AC19" s="33">
        <f t="shared" si="7"/>
        <v>2825</v>
      </c>
      <c r="AD19" s="33">
        <f t="shared" si="7"/>
        <v>3090</v>
      </c>
      <c r="AE19" s="33">
        <f t="shared" si="7"/>
        <v>3381</v>
      </c>
      <c r="AF19" s="33">
        <f t="shared" si="7"/>
        <v>3701</v>
      </c>
      <c r="AG19" s="33">
        <f t="shared" si="7"/>
        <v>4052</v>
      </c>
      <c r="AH19" s="33">
        <f t="shared" si="7"/>
        <v>4439</v>
      </c>
      <c r="AI19" s="33">
        <f t="shared" si="7"/>
        <v>4867</v>
      </c>
      <c r="AJ19" s="33">
        <f t="shared" si="7"/>
        <v>5342</v>
      </c>
      <c r="AK19" s="33">
        <f t="shared" si="7"/>
        <v>5870</v>
      </c>
      <c r="AL19" s="33">
        <f t="shared" si="7"/>
        <v>6457</v>
      </c>
      <c r="AM19" s="33">
        <f t="shared" si="7"/>
        <v>7112</v>
      </c>
    </row>
    <row r="23">
      <c r="A23" s="6" t="s">
        <v>84</v>
      </c>
    </row>
    <row r="24">
      <c r="A24" s="6" t="s">
        <v>85</v>
      </c>
    </row>
    <row r="30">
      <c r="A30" s="6" t="s">
        <v>86</v>
      </c>
    </row>
    <row r="31">
      <c r="A31" s="6" t="s">
        <v>87</v>
      </c>
    </row>
    <row r="32">
      <c r="A32" s="6" t="s">
        <v>88</v>
      </c>
    </row>
    <row r="33">
      <c r="A33" s="6" t="s">
        <v>89</v>
      </c>
    </row>
    <row r="35">
      <c r="A35" s="6" t="s">
        <v>90</v>
      </c>
    </row>
    <row r="36">
      <c r="A36" s="6" t="s">
        <v>91</v>
      </c>
    </row>
    <row r="37">
      <c r="A37" s="6" t="s">
        <v>92</v>
      </c>
    </row>
    <row r="38">
      <c r="A38" s="6" t="s">
        <v>93</v>
      </c>
    </row>
    <row r="39">
      <c r="A39" s="6" t="s">
        <v>1</v>
      </c>
    </row>
    <row r="47">
      <c r="A47" s="6" t="s">
        <v>94</v>
      </c>
    </row>
    <row r="48">
      <c r="A48" s="6" t="s">
        <v>95</v>
      </c>
    </row>
    <row r="49">
      <c r="A49" s="6" t="s">
        <v>96</v>
      </c>
    </row>
    <row r="50">
      <c r="A50" s="6" t="s">
        <v>97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1.88"/>
    <col customWidth="1" min="5" max="17" width="7.63"/>
    <col customWidth="1" min="18" max="22" width="8.5"/>
    <col customWidth="1" min="23" max="27" width="9.5"/>
    <col customWidth="1" min="28" max="31" width="10.88"/>
    <col customWidth="1" min="32" max="36" width="11.75"/>
    <col customWidth="1" min="37" max="40" width="12.75"/>
  </cols>
  <sheetData>
    <row r="1">
      <c r="E1" s="31">
        <v>46112.0</v>
      </c>
      <c r="F1" s="31">
        <f t="shared" ref="F1:AN1" si="1">EOMONTH(E1,1)</f>
        <v>46142</v>
      </c>
      <c r="G1" s="31">
        <f t="shared" si="1"/>
        <v>46173</v>
      </c>
      <c r="H1" s="31">
        <f t="shared" si="1"/>
        <v>46203</v>
      </c>
      <c r="I1" s="31">
        <f t="shared" si="1"/>
        <v>46234</v>
      </c>
      <c r="J1" s="31">
        <f t="shared" si="1"/>
        <v>46265</v>
      </c>
      <c r="K1" s="31">
        <f t="shared" si="1"/>
        <v>46295</v>
      </c>
      <c r="L1" s="31">
        <f t="shared" si="1"/>
        <v>46326</v>
      </c>
      <c r="M1" s="31">
        <f t="shared" si="1"/>
        <v>46356</v>
      </c>
      <c r="N1" s="31">
        <f t="shared" si="1"/>
        <v>46387</v>
      </c>
      <c r="O1" s="31">
        <f t="shared" si="1"/>
        <v>46418</v>
      </c>
      <c r="P1" s="31">
        <f t="shared" si="1"/>
        <v>46446</v>
      </c>
      <c r="Q1" s="31">
        <f t="shared" si="1"/>
        <v>46477</v>
      </c>
      <c r="R1" s="31">
        <f t="shared" si="1"/>
        <v>46507</v>
      </c>
      <c r="S1" s="31">
        <f t="shared" si="1"/>
        <v>46538</v>
      </c>
      <c r="T1" s="31">
        <f t="shared" si="1"/>
        <v>46568</v>
      </c>
      <c r="U1" s="31">
        <f t="shared" si="1"/>
        <v>46599</v>
      </c>
      <c r="V1" s="31">
        <f t="shared" si="1"/>
        <v>46630</v>
      </c>
      <c r="W1" s="31">
        <f t="shared" si="1"/>
        <v>46660</v>
      </c>
      <c r="X1" s="31">
        <f t="shared" si="1"/>
        <v>46691</v>
      </c>
      <c r="Y1" s="31">
        <f t="shared" si="1"/>
        <v>46721</v>
      </c>
      <c r="Z1" s="31">
        <f t="shared" si="1"/>
        <v>46752</v>
      </c>
      <c r="AA1" s="31">
        <f t="shared" si="1"/>
        <v>46783</v>
      </c>
      <c r="AB1" s="31">
        <f t="shared" si="1"/>
        <v>46812</v>
      </c>
      <c r="AC1" s="31">
        <f t="shared" si="1"/>
        <v>46843</v>
      </c>
      <c r="AD1" s="31">
        <f t="shared" si="1"/>
        <v>46873</v>
      </c>
      <c r="AE1" s="31">
        <f t="shared" si="1"/>
        <v>46904</v>
      </c>
      <c r="AF1" s="31">
        <f t="shared" si="1"/>
        <v>46934</v>
      </c>
      <c r="AG1" s="31">
        <f t="shared" si="1"/>
        <v>46965</v>
      </c>
      <c r="AH1" s="31">
        <f t="shared" si="1"/>
        <v>46996</v>
      </c>
      <c r="AI1" s="31">
        <f t="shared" si="1"/>
        <v>47026</v>
      </c>
      <c r="AJ1" s="31">
        <f t="shared" si="1"/>
        <v>47057</v>
      </c>
      <c r="AK1" s="31">
        <f t="shared" si="1"/>
        <v>47087</v>
      </c>
      <c r="AL1" s="31">
        <f t="shared" si="1"/>
        <v>47118</v>
      </c>
      <c r="AM1" s="31">
        <f t="shared" si="1"/>
        <v>47149</v>
      </c>
      <c r="AN1" s="31">
        <f t="shared" si="1"/>
        <v>47177</v>
      </c>
    </row>
    <row r="3">
      <c r="A3" s="3" t="s">
        <v>98</v>
      </c>
      <c r="B3" s="3"/>
      <c r="C3" s="4"/>
      <c r="D3" s="4"/>
      <c r="E3" s="5">
        <f t="shared" ref="E3:AN3" si="2">SUM(E5,E16,E23,E27,E41)</f>
        <v>-1909</v>
      </c>
      <c r="F3" s="5">
        <f t="shared" si="2"/>
        <v>-1636</v>
      </c>
      <c r="G3" s="5">
        <f t="shared" si="2"/>
        <v>-1796</v>
      </c>
      <c r="H3" s="5">
        <f t="shared" si="2"/>
        <v>-1986</v>
      </c>
      <c r="I3" s="5">
        <f t="shared" si="2"/>
        <v>-2210</v>
      </c>
      <c r="J3" s="5">
        <f t="shared" si="2"/>
        <v>-2516</v>
      </c>
      <c r="K3" s="5">
        <f t="shared" si="2"/>
        <v>-2738</v>
      </c>
      <c r="L3" s="5">
        <f t="shared" si="2"/>
        <v>-2918</v>
      </c>
      <c r="M3" s="5">
        <f t="shared" si="2"/>
        <v>-3102</v>
      </c>
      <c r="N3" s="5">
        <f t="shared" si="2"/>
        <v>-3352</v>
      </c>
      <c r="O3" s="5">
        <f t="shared" si="2"/>
        <v>-3604</v>
      </c>
      <c r="P3" s="5">
        <f t="shared" si="2"/>
        <v>-3816</v>
      </c>
      <c r="Q3" s="5">
        <f t="shared" si="2"/>
        <v>-8409</v>
      </c>
      <c r="R3" s="5">
        <f t="shared" si="2"/>
        <v>-8372</v>
      </c>
      <c r="S3" s="5">
        <f t="shared" si="2"/>
        <v>-8668</v>
      </c>
      <c r="T3" s="5">
        <f t="shared" si="2"/>
        <v>-8982</v>
      </c>
      <c r="U3" s="5">
        <f t="shared" si="2"/>
        <v>-9368</v>
      </c>
      <c r="V3" s="5">
        <f t="shared" si="2"/>
        <v>-9716</v>
      </c>
      <c r="W3" s="5">
        <f t="shared" si="2"/>
        <v>-10136</v>
      </c>
      <c r="X3" s="5">
        <f t="shared" si="2"/>
        <v>-10584</v>
      </c>
      <c r="Y3" s="5">
        <f t="shared" si="2"/>
        <v>-11054</v>
      </c>
      <c r="Z3" s="5">
        <f t="shared" si="2"/>
        <v>-11550</v>
      </c>
      <c r="AA3" s="5">
        <f t="shared" si="2"/>
        <v>-12134</v>
      </c>
      <c r="AB3" s="5">
        <f t="shared" si="2"/>
        <v>-12842</v>
      </c>
      <c r="AC3" s="5">
        <f t="shared" si="2"/>
        <v>-13771</v>
      </c>
      <c r="AD3" s="5">
        <f t="shared" si="2"/>
        <v>-14194</v>
      </c>
      <c r="AE3" s="5">
        <f t="shared" si="2"/>
        <v>-14992</v>
      </c>
      <c r="AF3" s="5">
        <f t="shared" si="2"/>
        <v>-15894</v>
      </c>
      <c r="AG3" s="5">
        <f t="shared" si="2"/>
        <v>-16862</v>
      </c>
      <c r="AH3" s="5">
        <f t="shared" si="2"/>
        <v>-17944</v>
      </c>
      <c r="AI3" s="5">
        <f t="shared" si="2"/>
        <v>-19160</v>
      </c>
      <c r="AJ3" s="5">
        <f t="shared" si="2"/>
        <v>-20456</v>
      </c>
      <c r="AK3" s="5">
        <f t="shared" si="2"/>
        <v>-21964</v>
      </c>
      <c r="AL3" s="5">
        <f t="shared" si="2"/>
        <v>-23594</v>
      </c>
      <c r="AM3" s="5">
        <f t="shared" si="2"/>
        <v>-24248</v>
      </c>
      <c r="AN3" s="5">
        <f t="shared" si="2"/>
        <v>-26406</v>
      </c>
    </row>
    <row r="4"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>
      <c r="A5" s="3" t="s">
        <v>6</v>
      </c>
      <c r="B5" s="3"/>
      <c r="C5" s="4"/>
      <c r="D5" s="4"/>
      <c r="E5" s="35">
        <f t="shared" ref="E5:AN5" si="3">-SUM(E7:E12)</f>
        <v>-158</v>
      </c>
      <c r="F5" s="35">
        <f t="shared" si="3"/>
        <v>-266</v>
      </c>
      <c r="G5" s="35">
        <f t="shared" si="3"/>
        <v>-426</v>
      </c>
      <c r="H5" s="35">
        <f t="shared" si="3"/>
        <v>-616</v>
      </c>
      <c r="I5" s="35">
        <f t="shared" si="3"/>
        <v>-820</v>
      </c>
      <c r="J5" s="35">
        <f t="shared" si="3"/>
        <v>-1026</v>
      </c>
      <c r="K5" s="35">
        <f t="shared" si="3"/>
        <v>-1248</v>
      </c>
      <c r="L5" s="35">
        <f t="shared" si="3"/>
        <v>-1428</v>
      </c>
      <c r="M5" s="35">
        <f t="shared" si="3"/>
        <v>-1612</v>
      </c>
      <c r="N5" s="35">
        <f t="shared" si="3"/>
        <v>-1862</v>
      </c>
      <c r="O5" s="35">
        <f t="shared" si="3"/>
        <v>-2114</v>
      </c>
      <c r="P5" s="35">
        <f t="shared" si="3"/>
        <v>-2326</v>
      </c>
      <c r="Q5" s="35">
        <f t="shared" si="3"/>
        <v>-2598</v>
      </c>
      <c r="R5" s="35">
        <f t="shared" si="3"/>
        <v>-2882</v>
      </c>
      <c r="S5" s="35">
        <f t="shared" si="3"/>
        <v>-3178</v>
      </c>
      <c r="T5" s="35">
        <f t="shared" si="3"/>
        <v>-3492</v>
      </c>
      <c r="U5" s="35">
        <f t="shared" si="3"/>
        <v>-3878</v>
      </c>
      <c r="V5" s="35">
        <f t="shared" si="3"/>
        <v>-4226</v>
      </c>
      <c r="W5" s="35">
        <f t="shared" si="3"/>
        <v>-4646</v>
      </c>
      <c r="X5" s="35">
        <f t="shared" si="3"/>
        <v>-5094</v>
      </c>
      <c r="Y5" s="35">
        <f t="shared" si="3"/>
        <v>-5564</v>
      </c>
      <c r="Z5" s="35">
        <f t="shared" si="3"/>
        <v>-6060</v>
      </c>
      <c r="AA5" s="35">
        <f t="shared" si="3"/>
        <v>-6644</v>
      </c>
      <c r="AB5" s="35">
        <f t="shared" si="3"/>
        <v>-7252</v>
      </c>
      <c r="AC5" s="35">
        <f t="shared" si="3"/>
        <v>-7960</v>
      </c>
      <c r="AD5" s="35">
        <f t="shared" si="3"/>
        <v>-8704</v>
      </c>
      <c r="AE5" s="35">
        <f t="shared" si="3"/>
        <v>-9502</v>
      </c>
      <c r="AF5" s="35">
        <f t="shared" si="3"/>
        <v>-10404</v>
      </c>
      <c r="AG5" s="35">
        <f t="shared" si="3"/>
        <v>-11372</v>
      </c>
      <c r="AH5" s="35">
        <f t="shared" si="3"/>
        <v>-12454</v>
      </c>
      <c r="AI5" s="35">
        <f t="shared" si="3"/>
        <v>-13670</v>
      </c>
      <c r="AJ5" s="35">
        <f t="shared" si="3"/>
        <v>-14966</v>
      </c>
      <c r="AK5" s="35">
        <f t="shared" si="3"/>
        <v>-16474</v>
      </c>
      <c r="AL5" s="35">
        <f t="shared" si="3"/>
        <v>-18104</v>
      </c>
      <c r="AM5" s="35">
        <f t="shared" si="3"/>
        <v>-19958</v>
      </c>
      <c r="AN5" s="35">
        <f t="shared" si="3"/>
        <v>-22016</v>
      </c>
    </row>
    <row r="6"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>
      <c r="B7" s="6" t="s">
        <v>99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</row>
    <row r="8"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>
      <c r="B9" s="6"/>
      <c r="D9" s="6" t="s">
        <v>100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>
      <c r="B10" s="6" t="s">
        <v>101</v>
      </c>
      <c r="D10" s="16">
        <v>2.0</v>
      </c>
      <c r="E10" s="7">
        <f>$D10*Umsatz!D10</f>
        <v>60</v>
      </c>
      <c r="F10" s="7">
        <f>$D10*Umsatz!E10</f>
        <v>120</v>
      </c>
      <c r="G10" s="7">
        <f>$D10*Umsatz!F10</f>
        <v>182</v>
      </c>
      <c r="H10" s="7">
        <f>$D10*Umsatz!G10</f>
        <v>234</v>
      </c>
      <c r="I10" s="7">
        <f>$D10*Umsatz!H10</f>
        <v>292</v>
      </c>
      <c r="J10" s="7">
        <f>$D10*Umsatz!I10</f>
        <v>352</v>
      </c>
      <c r="K10" s="7">
        <f>$D10*Umsatz!J10</f>
        <v>370</v>
      </c>
      <c r="L10" s="7">
        <f>$D10*Umsatz!K10</f>
        <v>388</v>
      </c>
      <c r="M10" s="7">
        <f>$D10*Umsatz!L10</f>
        <v>410</v>
      </c>
      <c r="N10" s="7">
        <f>$D10*Umsatz!M10</f>
        <v>432</v>
      </c>
      <c r="O10" s="7">
        <f>$D10*Umsatz!N10</f>
        <v>456</v>
      </c>
      <c r="P10" s="7">
        <f>$D10*Umsatz!O10</f>
        <v>482</v>
      </c>
      <c r="Q10" s="7">
        <f>$D10*Umsatz!P10</f>
        <v>510</v>
      </c>
      <c r="R10" s="7">
        <f>$D10*Umsatz!Q10</f>
        <v>542</v>
      </c>
      <c r="S10" s="7">
        <f>$D10*Umsatz!R10</f>
        <v>578</v>
      </c>
      <c r="T10" s="7">
        <f>$D10*Umsatz!S10</f>
        <v>616</v>
      </c>
      <c r="U10" s="7">
        <f>$D10*Umsatz!T10</f>
        <v>660</v>
      </c>
      <c r="V10" s="7">
        <f>$D10*Umsatz!U10</f>
        <v>708</v>
      </c>
      <c r="W10" s="7">
        <f>$D10*Umsatz!V10</f>
        <v>762</v>
      </c>
      <c r="X10" s="7">
        <f>$D10*Umsatz!W10</f>
        <v>820</v>
      </c>
      <c r="Y10" s="7">
        <f>$D10*Umsatz!X10</f>
        <v>884</v>
      </c>
      <c r="Z10" s="7">
        <f>$D10*Umsatz!Y10</f>
        <v>958</v>
      </c>
      <c r="AA10" s="7">
        <f>$D10*Umsatz!Z10</f>
        <v>1038</v>
      </c>
      <c r="AB10" s="7">
        <f>$D10*Umsatz!AA10</f>
        <v>1126</v>
      </c>
      <c r="AC10" s="7">
        <f>$D10*Umsatz!AB10</f>
        <v>1224</v>
      </c>
      <c r="AD10" s="7">
        <f>$D10*Umsatz!AC10</f>
        <v>1334</v>
      </c>
      <c r="AE10" s="7">
        <f>$D10*Umsatz!AD10</f>
        <v>1458</v>
      </c>
      <c r="AF10" s="7">
        <f>$D10*Umsatz!AE10</f>
        <v>1596</v>
      </c>
      <c r="AG10" s="7">
        <f>$D10*Umsatz!AF10</f>
        <v>1752</v>
      </c>
      <c r="AH10" s="7">
        <f>$D10*Umsatz!AG10</f>
        <v>1924</v>
      </c>
      <c r="AI10" s="7">
        <f>$D10*Umsatz!AH10</f>
        <v>2116</v>
      </c>
      <c r="AJ10" s="7">
        <f>$D10*Umsatz!AI10</f>
        <v>2332</v>
      </c>
      <c r="AK10" s="7">
        <f>$D10*Umsatz!AJ10</f>
        <v>2580</v>
      </c>
      <c r="AL10" s="7">
        <f>$D10*Umsatz!AK10</f>
        <v>2862</v>
      </c>
      <c r="AM10" s="7">
        <f>$D10*Umsatz!AL10</f>
        <v>3180</v>
      </c>
      <c r="AN10" s="7">
        <f>$D10*Umsatz!AM10</f>
        <v>3540</v>
      </c>
    </row>
    <row r="11">
      <c r="B11" s="6" t="s">
        <v>1</v>
      </c>
      <c r="D11" s="24">
        <v>0.4</v>
      </c>
      <c r="E11" s="7">
        <f>Umsatz!D16*$D11</f>
        <v>48</v>
      </c>
      <c r="F11" s="7">
        <f>Umsatz!E16*$D11</f>
        <v>96</v>
      </c>
      <c r="G11" s="7">
        <f>Umsatz!F16*$D11</f>
        <v>144</v>
      </c>
      <c r="H11" s="7">
        <f>Umsatz!G16*$D11</f>
        <v>232</v>
      </c>
      <c r="I11" s="7">
        <f>Umsatz!H16*$D11</f>
        <v>328</v>
      </c>
      <c r="J11" s="7">
        <f>Umsatz!I16*$D11</f>
        <v>424</v>
      </c>
      <c r="K11" s="7">
        <f>Umsatz!J16*$D11</f>
        <v>528</v>
      </c>
      <c r="L11" s="7">
        <f>Umsatz!K16*$D11</f>
        <v>640</v>
      </c>
      <c r="M11" s="7">
        <f>Umsatz!L16*$D11</f>
        <v>752</v>
      </c>
      <c r="N11" s="7">
        <f>Umsatz!M16*$D11</f>
        <v>880</v>
      </c>
      <c r="O11" s="7">
        <f>Umsatz!N16*$D11</f>
        <v>1008</v>
      </c>
      <c r="P11" s="7">
        <f>Umsatz!O16*$D11</f>
        <v>1144</v>
      </c>
      <c r="Q11" s="7">
        <f>Umsatz!P16*$D11</f>
        <v>1288</v>
      </c>
      <c r="R11" s="7">
        <f>Umsatz!Q16*$D11</f>
        <v>1440</v>
      </c>
      <c r="S11" s="7">
        <f>Umsatz!R16*$D11</f>
        <v>1600</v>
      </c>
      <c r="T11" s="7">
        <f>Umsatz!S16*$D11</f>
        <v>1776</v>
      </c>
      <c r="U11" s="7">
        <f>Umsatz!T16*$D11</f>
        <v>1968</v>
      </c>
      <c r="V11" s="7">
        <f>Umsatz!U16*$D11</f>
        <v>2168</v>
      </c>
      <c r="W11" s="7">
        <f>Umsatz!V16*$D11</f>
        <v>2384</v>
      </c>
      <c r="X11" s="7">
        <f>Umsatz!W16*$D11</f>
        <v>2624</v>
      </c>
      <c r="Y11" s="7">
        <f>Umsatz!X16*$D11</f>
        <v>2880</v>
      </c>
      <c r="Z11" s="7">
        <f>Umsatz!Y16*$D11</f>
        <v>3152</v>
      </c>
      <c r="AA11" s="7">
        <f>Umsatz!Z16*$D11</f>
        <v>3456</v>
      </c>
      <c r="AB11" s="7">
        <f>Umsatz!AA16*$D11</f>
        <v>3776</v>
      </c>
      <c r="AC11" s="7">
        <f>Umsatz!AB16*$D11</f>
        <v>4136</v>
      </c>
      <c r="AD11" s="7">
        <f>Umsatz!AC16*$D11</f>
        <v>4520</v>
      </c>
      <c r="AE11" s="7">
        <f>Umsatz!AD16*$D11</f>
        <v>4944</v>
      </c>
      <c r="AF11" s="7">
        <f>Umsatz!AE16*$D11</f>
        <v>5408</v>
      </c>
      <c r="AG11" s="7">
        <f>Umsatz!AF16*$D11</f>
        <v>5920</v>
      </c>
      <c r="AH11" s="7">
        <f>Umsatz!AG16*$D11</f>
        <v>6480</v>
      </c>
      <c r="AI11" s="7">
        <f>Umsatz!AH16*$D11</f>
        <v>7104</v>
      </c>
      <c r="AJ11" s="7">
        <f>Umsatz!AI16*$D11</f>
        <v>7784</v>
      </c>
      <c r="AK11" s="7">
        <f>Umsatz!AJ16*$D11</f>
        <v>8544</v>
      </c>
      <c r="AL11" s="7">
        <f>Umsatz!AK16*$D11</f>
        <v>9392</v>
      </c>
      <c r="AM11" s="7">
        <f>Umsatz!AL16*$D11</f>
        <v>10328</v>
      </c>
      <c r="AN11" s="7">
        <f>Umsatz!AM16*$D11</f>
        <v>11376</v>
      </c>
    </row>
    <row r="12">
      <c r="B12" s="6" t="s">
        <v>2</v>
      </c>
      <c r="D12" s="24">
        <v>0.5</v>
      </c>
      <c r="E12" s="7">
        <f>$D12*Umsatz!D23</f>
        <v>50</v>
      </c>
      <c r="F12" s="7">
        <f>$D12*Umsatz!E23</f>
        <v>50</v>
      </c>
      <c r="G12" s="7">
        <f>$D12*Umsatz!F23</f>
        <v>100</v>
      </c>
      <c r="H12" s="7">
        <f>$D12*Umsatz!G23</f>
        <v>150</v>
      </c>
      <c r="I12" s="7">
        <f>$D12*Umsatz!H23</f>
        <v>200</v>
      </c>
      <c r="J12" s="7">
        <f>$D12*Umsatz!I23</f>
        <v>250</v>
      </c>
      <c r="K12" s="7">
        <f>$D12*Umsatz!J23</f>
        <v>350</v>
      </c>
      <c r="L12" s="7">
        <f>$D12*Umsatz!K23</f>
        <v>400</v>
      </c>
      <c r="M12" s="7">
        <f>$D12*Umsatz!L23</f>
        <v>450</v>
      </c>
      <c r="N12" s="7">
        <f>$D12*Umsatz!M23</f>
        <v>550</v>
      </c>
      <c r="O12" s="7">
        <f>$D12*Umsatz!N23</f>
        <v>650</v>
      </c>
      <c r="P12" s="7">
        <f>$D12*Umsatz!O23</f>
        <v>700</v>
      </c>
      <c r="Q12" s="7">
        <f>$D12*Umsatz!P23</f>
        <v>800</v>
      </c>
      <c r="R12" s="7">
        <f>$D12*Umsatz!Q23</f>
        <v>900</v>
      </c>
      <c r="S12" s="7">
        <f>$D12*Umsatz!R23</f>
        <v>1000</v>
      </c>
      <c r="T12" s="7">
        <f>$D12*Umsatz!S23</f>
        <v>1100</v>
      </c>
      <c r="U12" s="7">
        <f>$D12*Umsatz!T23</f>
        <v>1250</v>
      </c>
      <c r="V12" s="7">
        <f>$D12*Umsatz!U23</f>
        <v>1350</v>
      </c>
      <c r="W12" s="7">
        <f>$D12*Umsatz!V23</f>
        <v>1500</v>
      </c>
      <c r="X12" s="7">
        <f>$D12*Umsatz!W23</f>
        <v>1650</v>
      </c>
      <c r="Y12" s="7">
        <f>$D12*Umsatz!X23</f>
        <v>1800</v>
      </c>
      <c r="Z12" s="7">
        <f>$D12*Umsatz!Y23</f>
        <v>1950</v>
      </c>
      <c r="AA12" s="7">
        <f>$D12*Umsatz!Z23</f>
        <v>2150</v>
      </c>
      <c r="AB12" s="7">
        <f>$D12*Umsatz!AA23</f>
        <v>2350</v>
      </c>
      <c r="AC12" s="7">
        <f>$D12*Umsatz!AB23</f>
        <v>2600</v>
      </c>
      <c r="AD12" s="7">
        <f>$D12*Umsatz!AC23</f>
        <v>2850</v>
      </c>
      <c r="AE12" s="7">
        <f>$D12*Umsatz!AD23</f>
        <v>3100</v>
      </c>
      <c r="AF12" s="7">
        <f>$D12*Umsatz!AE23</f>
        <v>3400</v>
      </c>
      <c r="AG12" s="7">
        <f>$D12*Umsatz!AF23</f>
        <v>3700</v>
      </c>
      <c r="AH12" s="7">
        <f>$D12*Umsatz!AG23</f>
        <v>4050</v>
      </c>
      <c r="AI12" s="7">
        <f>$D12*Umsatz!AH23</f>
        <v>4450</v>
      </c>
      <c r="AJ12" s="7">
        <f>$D12*Umsatz!AI23</f>
        <v>4850</v>
      </c>
      <c r="AK12" s="7">
        <f>$D12*Umsatz!AJ23</f>
        <v>5350</v>
      </c>
      <c r="AL12" s="7">
        <f>$D12*Umsatz!AK23</f>
        <v>5850</v>
      </c>
      <c r="AM12" s="7">
        <f>$D12*Umsatz!AL23</f>
        <v>6450</v>
      </c>
      <c r="AN12" s="7">
        <f>$D12*Umsatz!AM23</f>
        <v>7100</v>
      </c>
    </row>
    <row r="13">
      <c r="B13" s="6"/>
      <c r="D13" s="2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>
      <c r="B14" s="6" t="s">
        <v>102</v>
      </c>
      <c r="D14" s="27">
        <v>0.05</v>
      </c>
      <c r="E14" s="7">
        <f>$D14*Umsatz!D5</f>
        <v>11</v>
      </c>
      <c r="F14" s="7">
        <f>$D14*Umsatz!E5</f>
        <v>17</v>
      </c>
      <c r="G14" s="7">
        <f>$D14*Umsatz!F5</f>
        <v>28</v>
      </c>
      <c r="H14" s="7">
        <f>$D14*Umsatz!G5</f>
        <v>44</v>
      </c>
      <c r="I14" s="7">
        <f>$D14*Umsatz!H5</f>
        <v>61</v>
      </c>
      <c r="J14" s="7">
        <f>$D14*Umsatz!I5</f>
        <v>78</v>
      </c>
      <c r="K14" s="7">
        <f>$D14*Umsatz!J5</f>
        <v>101</v>
      </c>
      <c r="L14" s="7">
        <f>$D14*Umsatz!K5</f>
        <v>120</v>
      </c>
      <c r="M14" s="7">
        <f>$D14*Umsatz!L5</f>
        <v>139</v>
      </c>
      <c r="N14" s="7">
        <f>$D14*Umsatz!M5</f>
        <v>165</v>
      </c>
      <c r="O14" s="7">
        <f>$D14*Umsatz!N5</f>
        <v>191</v>
      </c>
      <c r="P14" s="7">
        <f>$D14*Umsatz!O5</f>
        <v>213</v>
      </c>
      <c r="Q14" s="7">
        <f>$D14*Umsatz!P5</f>
        <v>241</v>
      </c>
      <c r="R14" s="7">
        <f>$D14*Umsatz!Q5</f>
        <v>270</v>
      </c>
      <c r="S14" s="7">
        <f>$D14*Umsatz!R5</f>
        <v>300</v>
      </c>
      <c r="T14" s="7">
        <f>$D14*Umsatz!S5</f>
        <v>332</v>
      </c>
      <c r="U14" s="7">
        <f>$D14*Umsatz!T5</f>
        <v>371</v>
      </c>
      <c r="V14" s="7">
        <f>$D14*Umsatz!U5</f>
        <v>406</v>
      </c>
      <c r="W14" s="7">
        <f>$D14*Umsatz!V5</f>
        <v>448</v>
      </c>
      <c r="X14" s="7">
        <f>$D14*Umsatz!W5</f>
        <v>493</v>
      </c>
      <c r="Y14" s="7">
        <f>$D14*Umsatz!X5</f>
        <v>540</v>
      </c>
      <c r="Z14" s="7">
        <f>$D14*Umsatz!Y5</f>
        <v>589</v>
      </c>
      <c r="AA14" s="7">
        <f>$D14*Umsatz!Z5</f>
        <v>647</v>
      </c>
      <c r="AB14" s="7">
        <f>$D14*Umsatz!AA5</f>
        <v>707</v>
      </c>
      <c r="AC14" s="7">
        <f>$D14*Umsatz!AB5</f>
        <v>777</v>
      </c>
      <c r="AD14" s="7">
        <f>$D14*Umsatz!AC5</f>
        <v>850</v>
      </c>
      <c r="AE14" s="7">
        <f>$D14*Umsatz!AD5</f>
        <v>928</v>
      </c>
      <c r="AF14" s="7">
        <f>$D14*Umsatz!AE5</f>
        <v>1016</v>
      </c>
      <c r="AG14" s="7">
        <f>$D14*Umsatz!AF5</f>
        <v>1110</v>
      </c>
      <c r="AH14" s="7">
        <f>$D14*Umsatz!AG5</f>
        <v>1215</v>
      </c>
      <c r="AI14" s="7">
        <f>$D14*Umsatz!AH5</f>
        <v>1333</v>
      </c>
      <c r="AJ14" s="7">
        <f>$D14*Umsatz!AI5</f>
        <v>1458</v>
      </c>
      <c r="AK14" s="7">
        <f>$D14*Umsatz!AJ5</f>
        <v>1603</v>
      </c>
      <c r="AL14" s="7">
        <f>$D14*Umsatz!AK5</f>
        <v>1759</v>
      </c>
      <c r="AM14" s="7">
        <f>$D14*Umsatz!AL5</f>
        <v>1936</v>
      </c>
      <c r="AN14" s="7">
        <f>$D14*Umsatz!AM5</f>
        <v>2132</v>
      </c>
    </row>
    <row r="15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>
      <c r="A16" s="3" t="s">
        <v>103</v>
      </c>
      <c r="B16" s="3"/>
      <c r="C16" s="4"/>
      <c r="D16" s="4"/>
      <c r="E16" s="5">
        <f t="shared" ref="E16:AL16" si="4">-SUM(E17:E22)</f>
        <v>-1200</v>
      </c>
      <c r="F16" s="5">
        <f t="shared" si="4"/>
        <v>-1200</v>
      </c>
      <c r="G16" s="5">
        <f t="shared" si="4"/>
        <v>-1200</v>
      </c>
      <c r="H16" s="5">
        <f t="shared" si="4"/>
        <v>-1200</v>
      </c>
      <c r="I16" s="5">
        <f t="shared" si="4"/>
        <v>-1200</v>
      </c>
      <c r="J16" s="5">
        <f t="shared" si="4"/>
        <v>-1200</v>
      </c>
      <c r="K16" s="5">
        <f t="shared" si="4"/>
        <v>-1200</v>
      </c>
      <c r="L16" s="5">
        <f t="shared" si="4"/>
        <v>-1200</v>
      </c>
      <c r="M16" s="5">
        <f t="shared" si="4"/>
        <v>-1200</v>
      </c>
      <c r="N16" s="5">
        <f t="shared" si="4"/>
        <v>-1200</v>
      </c>
      <c r="O16" s="5">
        <f t="shared" si="4"/>
        <v>-1200</v>
      </c>
      <c r="P16" s="5">
        <f t="shared" si="4"/>
        <v>-1200</v>
      </c>
      <c r="Q16" s="5">
        <f t="shared" si="4"/>
        <v>-1200</v>
      </c>
      <c r="R16" s="5">
        <f t="shared" si="4"/>
        <v>-1200</v>
      </c>
      <c r="S16" s="5">
        <f t="shared" si="4"/>
        <v>-1200</v>
      </c>
      <c r="T16" s="5">
        <f t="shared" si="4"/>
        <v>-1200</v>
      </c>
      <c r="U16" s="5">
        <f t="shared" si="4"/>
        <v>-1200</v>
      </c>
      <c r="V16" s="5">
        <f t="shared" si="4"/>
        <v>-1200</v>
      </c>
      <c r="W16" s="5">
        <f t="shared" si="4"/>
        <v>-1200</v>
      </c>
      <c r="X16" s="5">
        <f t="shared" si="4"/>
        <v>-1200</v>
      </c>
      <c r="Y16" s="5">
        <f t="shared" si="4"/>
        <v>-1200</v>
      </c>
      <c r="Z16" s="5">
        <f t="shared" si="4"/>
        <v>-1200</v>
      </c>
      <c r="AA16" s="5">
        <f t="shared" si="4"/>
        <v>-1200</v>
      </c>
      <c r="AB16" s="5">
        <f t="shared" si="4"/>
        <v>-1200</v>
      </c>
      <c r="AC16" s="5">
        <f t="shared" si="4"/>
        <v>-1200</v>
      </c>
      <c r="AD16" s="5">
        <f t="shared" si="4"/>
        <v>-1200</v>
      </c>
      <c r="AE16" s="5">
        <f t="shared" si="4"/>
        <v>-1200</v>
      </c>
      <c r="AF16" s="5">
        <f t="shared" si="4"/>
        <v>-1200</v>
      </c>
      <c r="AG16" s="5">
        <f t="shared" si="4"/>
        <v>-1200</v>
      </c>
      <c r="AH16" s="5">
        <f t="shared" si="4"/>
        <v>-1200</v>
      </c>
      <c r="AI16" s="5">
        <f t="shared" si="4"/>
        <v>-1200</v>
      </c>
      <c r="AJ16" s="5">
        <f t="shared" si="4"/>
        <v>-1200</v>
      </c>
      <c r="AK16" s="5">
        <f t="shared" si="4"/>
        <v>-1200</v>
      </c>
      <c r="AL16" s="5">
        <f t="shared" si="4"/>
        <v>-1200</v>
      </c>
      <c r="AM16" s="5"/>
      <c r="AN16" s="5"/>
    </row>
    <row r="17">
      <c r="B17" s="6" t="s">
        <v>104</v>
      </c>
      <c r="E17" s="14">
        <v>20.0</v>
      </c>
      <c r="F17" s="14">
        <v>20.0</v>
      </c>
      <c r="G17" s="14">
        <v>20.0</v>
      </c>
      <c r="H17" s="14">
        <v>20.0</v>
      </c>
      <c r="I17" s="14">
        <v>20.0</v>
      </c>
      <c r="J17" s="14">
        <v>20.0</v>
      </c>
      <c r="K17" s="14">
        <v>20.0</v>
      </c>
      <c r="L17" s="14">
        <v>20.0</v>
      </c>
      <c r="M17" s="14">
        <v>20.0</v>
      </c>
      <c r="N17" s="14">
        <v>20.0</v>
      </c>
      <c r="O17" s="14">
        <v>20.0</v>
      </c>
      <c r="P17" s="14">
        <v>20.0</v>
      </c>
      <c r="Q17" s="14">
        <v>20.0</v>
      </c>
      <c r="R17" s="14">
        <v>20.0</v>
      </c>
      <c r="S17" s="14">
        <v>20.0</v>
      </c>
      <c r="T17" s="14">
        <v>20.0</v>
      </c>
      <c r="U17" s="14">
        <v>20.0</v>
      </c>
      <c r="V17" s="14">
        <v>20.0</v>
      </c>
      <c r="W17" s="14">
        <v>20.0</v>
      </c>
      <c r="X17" s="14">
        <v>20.0</v>
      </c>
      <c r="Y17" s="14">
        <v>20.0</v>
      </c>
      <c r="Z17" s="14">
        <v>20.0</v>
      </c>
      <c r="AA17" s="14">
        <v>20.0</v>
      </c>
      <c r="AB17" s="14">
        <v>20.0</v>
      </c>
      <c r="AC17" s="14">
        <v>20.0</v>
      </c>
      <c r="AD17" s="14">
        <v>20.0</v>
      </c>
      <c r="AE17" s="14">
        <v>20.0</v>
      </c>
      <c r="AF17" s="14">
        <v>20.0</v>
      </c>
      <c r="AG17" s="14">
        <v>20.0</v>
      </c>
      <c r="AH17" s="14">
        <v>20.0</v>
      </c>
      <c r="AI17" s="14">
        <v>20.0</v>
      </c>
      <c r="AJ17" s="14">
        <v>20.0</v>
      </c>
      <c r="AK17" s="14">
        <v>20.0</v>
      </c>
      <c r="AL17" s="14">
        <v>20.0</v>
      </c>
      <c r="AM17" s="14">
        <v>20.0</v>
      </c>
      <c r="AN17" s="14">
        <v>20.0</v>
      </c>
    </row>
    <row r="18">
      <c r="B18" s="6" t="s">
        <v>105</v>
      </c>
      <c r="E18" s="14">
        <v>100.0</v>
      </c>
      <c r="F18" s="14">
        <v>100.0</v>
      </c>
      <c r="G18" s="14">
        <v>100.0</v>
      </c>
      <c r="H18" s="14">
        <v>100.0</v>
      </c>
      <c r="I18" s="14">
        <v>100.0</v>
      </c>
      <c r="J18" s="14">
        <v>100.0</v>
      </c>
      <c r="K18" s="14">
        <v>100.0</v>
      </c>
      <c r="L18" s="14">
        <v>100.0</v>
      </c>
      <c r="M18" s="14">
        <v>100.0</v>
      </c>
      <c r="N18" s="14">
        <v>100.0</v>
      </c>
      <c r="O18" s="14">
        <v>100.0</v>
      </c>
      <c r="P18" s="14">
        <v>100.0</v>
      </c>
      <c r="Q18" s="14">
        <v>100.0</v>
      </c>
      <c r="R18" s="14">
        <v>100.0</v>
      </c>
      <c r="S18" s="14">
        <v>100.0</v>
      </c>
      <c r="T18" s="14">
        <v>100.0</v>
      </c>
      <c r="U18" s="14">
        <v>100.0</v>
      </c>
      <c r="V18" s="14">
        <v>100.0</v>
      </c>
      <c r="W18" s="14">
        <v>100.0</v>
      </c>
      <c r="X18" s="14">
        <v>100.0</v>
      </c>
      <c r="Y18" s="14">
        <v>100.0</v>
      </c>
      <c r="Z18" s="14">
        <v>100.0</v>
      </c>
      <c r="AA18" s="14">
        <v>100.0</v>
      </c>
      <c r="AB18" s="14">
        <v>100.0</v>
      </c>
      <c r="AC18" s="14">
        <v>100.0</v>
      </c>
      <c r="AD18" s="14">
        <v>100.0</v>
      </c>
      <c r="AE18" s="14">
        <v>100.0</v>
      </c>
      <c r="AF18" s="14">
        <v>100.0</v>
      </c>
      <c r="AG18" s="14">
        <v>100.0</v>
      </c>
      <c r="AH18" s="14">
        <v>100.0</v>
      </c>
      <c r="AI18" s="14">
        <v>100.0</v>
      </c>
      <c r="AJ18" s="14">
        <v>100.0</v>
      </c>
      <c r="AK18" s="14">
        <v>100.0</v>
      </c>
      <c r="AL18" s="14">
        <v>100.0</v>
      </c>
      <c r="AM18" s="14">
        <v>100.0</v>
      </c>
      <c r="AN18" s="14">
        <v>100.0</v>
      </c>
    </row>
    <row r="19">
      <c r="B19" s="6" t="s">
        <v>106</v>
      </c>
      <c r="E19" s="14">
        <v>60.0</v>
      </c>
      <c r="F19" s="14">
        <v>60.0</v>
      </c>
      <c r="G19" s="14">
        <v>60.0</v>
      </c>
      <c r="H19" s="14">
        <v>60.0</v>
      </c>
      <c r="I19" s="14">
        <v>60.0</v>
      </c>
      <c r="J19" s="14">
        <v>60.0</v>
      </c>
      <c r="K19" s="14">
        <v>60.0</v>
      </c>
      <c r="L19" s="14">
        <v>60.0</v>
      </c>
      <c r="M19" s="14">
        <v>60.0</v>
      </c>
      <c r="N19" s="14">
        <v>60.0</v>
      </c>
      <c r="O19" s="14">
        <v>60.0</v>
      </c>
      <c r="P19" s="14">
        <v>60.0</v>
      </c>
      <c r="Q19" s="14">
        <v>60.0</v>
      </c>
      <c r="R19" s="14">
        <v>60.0</v>
      </c>
      <c r="S19" s="14">
        <v>60.0</v>
      </c>
      <c r="T19" s="14">
        <v>60.0</v>
      </c>
      <c r="U19" s="14">
        <v>60.0</v>
      </c>
      <c r="V19" s="14">
        <v>60.0</v>
      </c>
      <c r="W19" s="14">
        <v>60.0</v>
      </c>
      <c r="X19" s="14">
        <v>60.0</v>
      </c>
      <c r="Y19" s="14">
        <v>60.0</v>
      </c>
      <c r="Z19" s="14">
        <v>60.0</v>
      </c>
      <c r="AA19" s="14">
        <v>60.0</v>
      </c>
      <c r="AB19" s="14">
        <v>60.0</v>
      </c>
      <c r="AC19" s="14">
        <v>60.0</v>
      </c>
      <c r="AD19" s="14">
        <v>60.0</v>
      </c>
      <c r="AE19" s="14">
        <v>60.0</v>
      </c>
      <c r="AF19" s="14">
        <v>60.0</v>
      </c>
      <c r="AG19" s="14">
        <v>60.0</v>
      </c>
      <c r="AH19" s="14">
        <v>60.0</v>
      </c>
      <c r="AI19" s="14">
        <v>60.0</v>
      </c>
      <c r="AJ19" s="14">
        <v>60.0</v>
      </c>
      <c r="AK19" s="14">
        <v>60.0</v>
      </c>
      <c r="AL19" s="14">
        <v>60.0</v>
      </c>
      <c r="AM19" s="14">
        <v>60.0</v>
      </c>
      <c r="AN19" s="14">
        <v>60.0</v>
      </c>
    </row>
    <row r="20">
      <c r="B20" s="6" t="s">
        <v>107</v>
      </c>
      <c r="E20" s="14">
        <v>20.0</v>
      </c>
      <c r="F20" s="14">
        <v>20.0</v>
      </c>
      <c r="G20" s="14">
        <v>20.0</v>
      </c>
      <c r="H20" s="14">
        <v>20.0</v>
      </c>
      <c r="I20" s="14">
        <v>20.0</v>
      </c>
      <c r="J20" s="14">
        <v>20.0</v>
      </c>
      <c r="K20" s="14">
        <v>20.0</v>
      </c>
      <c r="L20" s="14">
        <v>20.0</v>
      </c>
      <c r="M20" s="14">
        <v>20.0</v>
      </c>
      <c r="N20" s="14">
        <v>20.0</v>
      </c>
      <c r="O20" s="14">
        <v>20.0</v>
      </c>
      <c r="P20" s="14">
        <v>20.0</v>
      </c>
      <c r="Q20" s="14">
        <v>20.0</v>
      </c>
      <c r="R20" s="14">
        <v>20.0</v>
      </c>
      <c r="S20" s="14">
        <v>20.0</v>
      </c>
      <c r="T20" s="14">
        <v>20.0</v>
      </c>
      <c r="U20" s="14">
        <v>20.0</v>
      </c>
      <c r="V20" s="14">
        <v>20.0</v>
      </c>
      <c r="W20" s="14">
        <v>20.0</v>
      </c>
      <c r="X20" s="14">
        <v>20.0</v>
      </c>
      <c r="Y20" s="14">
        <v>20.0</v>
      </c>
      <c r="Z20" s="14">
        <v>20.0</v>
      </c>
      <c r="AA20" s="14">
        <v>20.0</v>
      </c>
      <c r="AB20" s="14">
        <v>20.0</v>
      </c>
      <c r="AC20" s="14">
        <v>20.0</v>
      </c>
      <c r="AD20" s="14">
        <v>20.0</v>
      </c>
      <c r="AE20" s="14">
        <v>20.0</v>
      </c>
      <c r="AF20" s="14">
        <v>20.0</v>
      </c>
      <c r="AG20" s="14">
        <v>20.0</v>
      </c>
      <c r="AH20" s="14">
        <v>20.0</v>
      </c>
      <c r="AI20" s="14">
        <v>20.0</v>
      </c>
      <c r="AJ20" s="14">
        <v>20.0</v>
      </c>
      <c r="AK20" s="14">
        <v>20.0</v>
      </c>
      <c r="AL20" s="14">
        <v>20.0</v>
      </c>
      <c r="AM20" s="14">
        <v>20.0</v>
      </c>
      <c r="AN20" s="14">
        <v>20.0</v>
      </c>
    </row>
    <row r="21">
      <c r="B21" s="6" t="s">
        <v>108</v>
      </c>
      <c r="E21" s="14">
        <v>1000.0</v>
      </c>
      <c r="F21" s="14">
        <v>1000.0</v>
      </c>
      <c r="G21" s="14">
        <v>1000.0</v>
      </c>
      <c r="H21" s="14">
        <v>1000.0</v>
      </c>
      <c r="I21" s="14">
        <v>1000.0</v>
      </c>
      <c r="J21" s="14">
        <v>1000.0</v>
      </c>
      <c r="K21" s="14">
        <v>1000.0</v>
      </c>
      <c r="L21" s="14">
        <v>1000.0</v>
      </c>
      <c r="M21" s="14">
        <v>1000.0</v>
      </c>
      <c r="N21" s="14">
        <v>1000.0</v>
      </c>
      <c r="O21" s="14">
        <v>1000.0</v>
      </c>
      <c r="P21" s="14">
        <v>1000.0</v>
      </c>
      <c r="Q21" s="14">
        <v>1000.0</v>
      </c>
      <c r="R21" s="14">
        <v>1000.0</v>
      </c>
      <c r="S21" s="14">
        <v>1000.0</v>
      </c>
      <c r="T21" s="14">
        <v>1000.0</v>
      </c>
      <c r="U21" s="14">
        <v>1000.0</v>
      </c>
      <c r="V21" s="14">
        <v>1000.0</v>
      </c>
      <c r="W21" s="14">
        <v>1000.0</v>
      </c>
      <c r="X21" s="14">
        <v>1000.0</v>
      </c>
      <c r="Y21" s="14">
        <v>1000.0</v>
      </c>
      <c r="Z21" s="14">
        <v>1000.0</v>
      </c>
      <c r="AA21" s="14">
        <v>1000.0</v>
      </c>
      <c r="AB21" s="14">
        <v>1000.0</v>
      </c>
      <c r="AC21" s="14">
        <v>1000.0</v>
      </c>
      <c r="AD21" s="14">
        <v>1000.0</v>
      </c>
      <c r="AE21" s="14">
        <v>1000.0</v>
      </c>
      <c r="AF21" s="14">
        <v>1000.0</v>
      </c>
      <c r="AG21" s="14">
        <v>1000.0</v>
      </c>
      <c r="AH21" s="14">
        <v>1000.0</v>
      </c>
      <c r="AI21" s="14">
        <v>1000.0</v>
      </c>
      <c r="AJ21" s="14">
        <v>1000.0</v>
      </c>
      <c r="AK21" s="14">
        <v>1000.0</v>
      </c>
      <c r="AL21" s="14">
        <v>1000.0</v>
      </c>
      <c r="AM21" s="14">
        <v>1000.0</v>
      </c>
      <c r="AN21" s="14">
        <v>1000.0</v>
      </c>
    </row>
    <row r="22"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>
      <c r="A23" s="3" t="s">
        <v>109</v>
      </c>
      <c r="B23" s="3"/>
      <c r="C23" s="4"/>
      <c r="D23" s="4"/>
      <c r="E23" s="5">
        <f t="shared" ref="E23:AN23" si="5">-SUM(E24:E26)</f>
        <v>-100</v>
      </c>
      <c r="F23" s="5">
        <f t="shared" si="5"/>
        <v>-100</v>
      </c>
      <c r="G23" s="5">
        <f t="shared" si="5"/>
        <v>-100</v>
      </c>
      <c r="H23" s="5">
        <f t="shared" si="5"/>
        <v>-100</v>
      </c>
      <c r="I23" s="5">
        <f t="shared" si="5"/>
        <v>-120</v>
      </c>
      <c r="J23" s="5">
        <f t="shared" si="5"/>
        <v>-220</v>
      </c>
      <c r="K23" s="5">
        <f t="shared" si="5"/>
        <v>-220</v>
      </c>
      <c r="L23" s="5">
        <f t="shared" si="5"/>
        <v>-220</v>
      </c>
      <c r="M23" s="5">
        <f t="shared" si="5"/>
        <v>-220</v>
      </c>
      <c r="N23" s="5">
        <f t="shared" si="5"/>
        <v>-220</v>
      </c>
      <c r="O23" s="5">
        <f t="shared" si="5"/>
        <v>-220</v>
      </c>
      <c r="P23" s="5">
        <f t="shared" si="5"/>
        <v>-220</v>
      </c>
      <c r="Q23" s="5">
        <f t="shared" si="5"/>
        <v>-220</v>
      </c>
      <c r="R23" s="5">
        <f t="shared" si="5"/>
        <v>-220</v>
      </c>
      <c r="S23" s="5">
        <f t="shared" si="5"/>
        <v>-220</v>
      </c>
      <c r="T23" s="5">
        <f t="shared" si="5"/>
        <v>-220</v>
      </c>
      <c r="U23" s="5">
        <f t="shared" si="5"/>
        <v>-220</v>
      </c>
      <c r="V23" s="5">
        <f t="shared" si="5"/>
        <v>-220</v>
      </c>
      <c r="W23" s="5">
        <f t="shared" si="5"/>
        <v>-220</v>
      </c>
      <c r="X23" s="5">
        <f t="shared" si="5"/>
        <v>-220</v>
      </c>
      <c r="Y23" s="5">
        <f t="shared" si="5"/>
        <v>-220</v>
      </c>
      <c r="Z23" s="5">
        <f t="shared" si="5"/>
        <v>-220</v>
      </c>
      <c r="AA23" s="5">
        <f t="shared" si="5"/>
        <v>-220</v>
      </c>
      <c r="AB23" s="5">
        <f t="shared" si="5"/>
        <v>-220</v>
      </c>
      <c r="AC23" s="5">
        <f t="shared" si="5"/>
        <v>-220</v>
      </c>
      <c r="AD23" s="5">
        <f t="shared" si="5"/>
        <v>-220</v>
      </c>
      <c r="AE23" s="5">
        <f t="shared" si="5"/>
        <v>-220</v>
      </c>
      <c r="AF23" s="5">
        <f t="shared" si="5"/>
        <v>-220</v>
      </c>
      <c r="AG23" s="5">
        <f t="shared" si="5"/>
        <v>-220</v>
      </c>
      <c r="AH23" s="5">
        <f t="shared" si="5"/>
        <v>-220</v>
      </c>
      <c r="AI23" s="5">
        <f t="shared" si="5"/>
        <v>-220</v>
      </c>
      <c r="AJ23" s="5">
        <f t="shared" si="5"/>
        <v>-220</v>
      </c>
      <c r="AK23" s="5">
        <f t="shared" si="5"/>
        <v>-220</v>
      </c>
      <c r="AL23" s="5">
        <f t="shared" si="5"/>
        <v>-220</v>
      </c>
      <c r="AM23" s="5">
        <f t="shared" si="5"/>
        <v>-220</v>
      </c>
      <c r="AN23" s="5">
        <f t="shared" si="5"/>
        <v>-220</v>
      </c>
    </row>
    <row r="24">
      <c r="B24" s="6" t="s">
        <v>110</v>
      </c>
      <c r="E24" s="14">
        <v>100.0</v>
      </c>
      <c r="F24" s="14">
        <v>100.0</v>
      </c>
      <c r="G24" s="14">
        <v>100.0</v>
      </c>
      <c r="H24" s="14">
        <v>100.0</v>
      </c>
      <c r="I24" s="14">
        <v>100.0</v>
      </c>
      <c r="J24" s="14">
        <v>200.0</v>
      </c>
      <c r="K24" s="14">
        <v>200.0</v>
      </c>
      <c r="L24" s="14">
        <v>200.0</v>
      </c>
      <c r="M24" s="14">
        <v>200.0</v>
      </c>
      <c r="N24" s="14">
        <v>200.0</v>
      </c>
      <c r="O24" s="14">
        <v>200.0</v>
      </c>
      <c r="P24" s="14">
        <v>200.0</v>
      </c>
      <c r="Q24" s="14">
        <v>200.0</v>
      </c>
      <c r="R24" s="14">
        <v>200.0</v>
      </c>
      <c r="S24" s="14">
        <v>200.0</v>
      </c>
      <c r="T24" s="14">
        <v>200.0</v>
      </c>
      <c r="U24" s="14">
        <v>200.0</v>
      </c>
      <c r="V24" s="14">
        <v>200.0</v>
      </c>
      <c r="W24" s="14">
        <v>200.0</v>
      </c>
      <c r="X24" s="14">
        <v>200.0</v>
      </c>
      <c r="Y24" s="14">
        <v>200.0</v>
      </c>
      <c r="Z24" s="14">
        <v>200.0</v>
      </c>
      <c r="AA24" s="14">
        <v>200.0</v>
      </c>
      <c r="AB24" s="14">
        <v>200.0</v>
      </c>
      <c r="AC24" s="14">
        <v>200.0</v>
      </c>
      <c r="AD24" s="14">
        <v>200.0</v>
      </c>
      <c r="AE24" s="14">
        <v>200.0</v>
      </c>
      <c r="AF24" s="14">
        <v>200.0</v>
      </c>
      <c r="AG24" s="14">
        <v>200.0</v>
      </c>
      <c r="AH24" s="14">
        <v>200.0</v>
      </c>
      <c r="AI24" s="14">
        <v>200.0</v>
      </c>
      <c r="AJ24" s="14">
        <v>200.0</v>
      </c>
      <c r="AK24" s="14">
        <v>200.0</v>
      </c>
      <c r="AL24" s="14">
        <v>200.0</v>
      </c>
      <c r="AM24" s="14">
        <v>200.0</v>
      </c>
      <c r="AN24" s="14">
        <v>200.0</v>
      </c>
    </row>
    <row r="25">
      <c r="B25" s="6" t="s">
        <v>111</v>
      </c>
      <c r="E25" s="14">
        <v>0.0</v>
      </c>
      <c r="F25" s="14">
        <v>0.0</v>
      </c>
      <c r="G25" s="14">
        <v>0.0</v>
      </c>
      <c r="H25" s="14">
        <v>0.0</v>
      </c>
      <c r="I25" s="14">
        <v>20.0</v>
      </c>
      <c r="J25" s="14">
        <v>20.0</v>
      </c>
      <c r="K25" s="14">
        <v>20.0</v>
      </c>
      <c r="L25" s="14">
        <v>20.0</v>
      </c>
      <c r="M25" s="14">
        <v>20.0</v>
      </c>
      <c r="N25" s="14">
        <v>20.0</v>
      </c>
      <c r="O25" s="14">
        <v>20.0</v>
      </c>
      <c r="P25" s="14">
        <v>20.0</v>
      </c>
      <c r="Q25" s="14">
        <v>20.0</v>
      </c>
      <c r="R25" s="14">
        <v>20.0</v>
      </c>
      <c r="S25" s="14">
        <v>20.0</v>
      </c>
      <c r="T25" s="14">
        <v>20.0</v>
      </c>
      <c r="U25" s="14">
        <v>20.0</v>
      </c>
      <c r="V25" s="14">
        <v>20.0</v>
      </c>
      <c r="W25" s="14">
        <v>20.0</v>
      </c>
      <c r="X25" s="14">
        <v>20.0</v>
      </c>
      <c r="Y25" s="14">
        <v>20.0</v>
      </c>
      <c r="Z25" s="14">
        <v>20.0</v>
      </c>
      <c r="AA25" s="14">
        <v>20.0</v>
      </c>
      <c r="AB25" s="14">
        <v>20.0</v>
      </c>
      <c r="AC25" s="14">
        <v>20.0</v>
      </c>
      <c r="AD25" s="14">
        <v>20.0</v>
      </c>
      <c r="AE25" s="14">
        <v>20.0</v>
      </c>
      <c r="AF25" s="14">
        <v>20.0</v>
      </c>
      <c r="AG25" s="14">
        <v>20.0</v>
      </c>
      <c r="AH25" s="14">
        <v>20.0</v>
      </c>
      <c r="AI25" s="14">
        <v>20.0</v>
      </c>
      <c r="AJ25" s="14">
        <v>20.0</v>
      </c>
      <c r="AK25" s="14">
        <v>20.0</v>
      </c>
      <c r="AL25" s="14">
        <v>20.0</v>
      </c>
      <c r="AM25" s="14">
        <v>20.0</v>
      </c>
      <c r="AN25" s="14">
        <v>20.0</v>
      </c>
    </row>
    <row r="26">
      <c r="E26" s="7"/>
      <c r="F26" s="7"/>
      <c r="G26" s="7"/>
      <c r="H26" s="36" t="s">
        <v>112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>
      <c r="A27" s="3" t="s">
        <v>113</v>
      </c>
      <c r="B27" s="3"/>
      <c r="C27" s="4"/>
      <c r="D27" s="4"/>
      <c r="E27" s="5">
        <f t="shared" ref="E27:AN27" si="6">-SUM(E28:E40)</f>
        <v>-411</v>
      </c>
      <c r="F27" s="5">
        <f t="shared" si="6"/>
        <v>-30</v>
      </c>
      <c r="G27" s="5">
        <f t="shared" si="6"/>
        <v>-30</v>
      </c>
      <c r="H27" s="5">
        <f t="shared" si="6"/>
        <v>-30</v>
      </c>
      <c r="I27" s="5">
        <f t="shared" si="6"/>
        <v>-30</v>
      </c>
      <c r="J27" s="5">
        <f t="shared" si="6"/>
        <v>-30</v>
      </c>
      <c r="K27" s="5">
        <f t="shared" si="6"/>
        <v>-30</v>
      </c>
      <c r="L27" s="5">
        <f t="shared" si="6"/>
        <v>-30</v>
      </c>
      <c r="M27" s="5">
        <f t="shared" si="6"/>
        <v>-30</v>
      </c>
      <c r="N27" s="5">
        <f t="shared" si="6"/>
        <v>-30</v>
      </c>
      <c r="O27" s="5">
        <f t="shared" si="6"/>
        <v>-30</v>
      </c>
      <c r="P27" s="5">
        <f t="shared" si="6"/>
        <v>-30</v>
      </c>
      <c r="Q27" s="5">
        <f t="shared" si="6"/>
        <v>-4351</v>
      </c>
      <c r="R27" s="5">
        <f t="shared" si="6"/>
        <v>-4030</v>
      </c>
      <c r="S27" s="5">
        <f t="shared" si="6"/>
        <v>-4030</v>
      </c>
      <c r="T27" s="5">
        <f t="shared" si="6"/>
        <v>-4030</v>
      </c>
      <c r="U27" s="5">
        <f t="shared" si="6"/>
        <v>-4030</v>
      </c>
      <c r="V27" s="5">
        <f t="shared" si="6"/>
        <v>-4030</v>
      </c>
      <c r="W27" s="5">
        <f t="shared" si="6"/>
        <v>-4030</v>
      </c>
      <c r="X27" s="5">
        <f t="shared" si="6"/>
        <v>-4030</v>
      </c>
      <c r="Y27" s="5">
        <f t="shared" si="6"/>
        <v>-4030</v>
      </c>
      <c r="Z27" s="5">
        <f t="shared" si="6"/>
        <v>-4030</v>
      </c>
      <c r="AA27" s="5">
        <f t="shared" si="6"/>
        <v>-4030</v>
      </c>
      <c r="AB27" s="5">
        <f t="shared" si="6"/>
        <v>-4130</v>
      </c>
      <c r="AC27" s="5">
        <f t="shared" si="6"/>
        <v>-4351</v>
      </c>
      <c r="AD27" s="5">
        <f t="shared" si="6"/>
        <v>-4030</v>
      </c>
      <c r="AE27" s="5">
        <f t="shared" si="6"/>
        <v>-4030</v>
      </c>
      <c r="AF27" s="5">
        <f t="shared" si="6"/>
        <v>-4030</v>
      </c>
      <c r="AG27" s="5">
        <f t="shared" si="6"/>
        <v>-4030</v>
      </c>
      <c r="AH27" s="5">
        <f t="shared" si="6"/>
        <v>-4030</v>
      </c>
      <c r="AI27" s="5">
        <f t="shared" si="6"/>
        <v>-4030</v>
      </c>
      <c r="AJ27" s="5">
        <f t="shared" si="6"/>
        <v>-4030</v>
      </c>
      <c r="AK27" s="5">
        <f t="shared" si="6"/>
        <v>-4030</v>
      </c>
      <c r="AL27" s="5">
        <f t="shared" si="6"/>
        <v>-4030</v>
      </c>
      <c r="AM27" s="5">
        <f t="shared" si="6"/>
        <v>-4030</v>
      </c>
      <c r="AN27" s="5">
        <f t="shared" si="6"/>
        <v>-4130</v>
      </c>
    </row>
    <row r="28">
      <c r="B28" s="6" t="s">
        <v>114</v>
      </c>
      <c r="E28" s="14">
        <v>10.0</v>
      </c>
      <c r="F28" s="14">
        <v>10.0</v>
      </c>
      <c r="G28" s="14">
        <v>10.0</v>
      </c>
      <c r="H28" s="14">
        <v>10.0</v>
      </c>
      <c r="I28" s="14">
        <v>10.0</v>
      </c>
      <c r="J28" s="14">
        <v>10.0</v>
      </c>
      <c r="K28" s="14">
        <v>10.0</v>
      </c>
      <c r="L28" s="14">
        <v>10.0</v>
      </c>
      <c r="M28" s="14">
        <v>10.0</v>
      </c>
      <c r="N28" s="14">
        <v>10.0</v>
      </c>
      <c r="O28" s="14">
        <v>10.0</v>
      </c>
      <c r="P28" s="14">
        <v>10.0</v>
      </c>
      <c r="Q28" s="14">
        <v>10.0</v>
      </c>
      <c r="R28" s="14">
        <v>10.0</v>
      </c>
      <c r="S28" s="14">
        <v>10.0</v>
      </c>
      <c r="T28" s="14">
        <v>10.0</v>
      </c>
      <c r="U28" s="14">
        <v>10.0</v>
      </c>
      <c r="V28" s="14">
        <v>10.0</v>
      </c>
      <c r="W28" s="14">
        <v>10.0</v>
      </c>
      <c r="X28" s="14">
        <v>10.0</v>
      </c>
      <c r="Y28" s="14">
        <v>10.0</v>
      </c>
      <c r="Z28" s="14">
        <v>10.0</v>
      </c>
      <c r="AA28" s="14">
        <v>10.0</v>
      </c>
      <c r="AB28" s="14">
        <v>10.0</v>
      </c>
      <c r="AC28" s="14">
        <v>10.0</v>
      </c>
      <c r="AD28" s="14">
        <v>10.0</v>
      </c>
      <c r="AE28" s="14">
        <v>10.0</v>
      </c>
      <c r="AF28" s="14">
        <v>10.0</v>
      </c>
      <c r="AG28" s="14">
        <v>10.0</v>
      </c>
      <c r="AH28" s="14">
        <v>10.0</v>
      </c>
      <c r="AI28" s="14">
        <v>10.0</v>
      </c>
      <c r="AJ28" s="14">
        <v>10.0</v>
      </c>
      <c r="AK28" s="14">
        <v>10.0</v>
      </c>
      <c r="AL28" s="14">
        <v>10.0</v>
      </c>
      <c r="AM28" s="14">
        <v>10.0</v>
      </c>
      <c r="AN28" s="14">
        <v>10.0</v>
      </c>
    </row>
    <row r="29">
      <c r="B29" s="6" t="s">
        <v>115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</row>
    <row r="30">
      <c r="B30" s="6" t="s">
        <v>116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</row>
    <row r="31">
      <c r="B31" s="6" t="s">
        <v>117</v>
      </c>
      <c r="E31" s="14">
        <v>20.0</v>
      </c>
      <c r="F31" s="14">
        <v>20.0</v>
      </c>
      <c r="G31" s="14">
        <v>20.0</v>
      </c>
      <c r="H31" s="14">
        <v>20.0</v>
      </c>
      <c r="I31" s="14">
        <v>20.0</v>
      </c>
      <c r="J31" s="14">
        <v>20.0</v>
      </c>
      <c r="K31" s="14">
        <v>20.0</v>
      </c>
      <c r="L31" s="14">
        <v>20.0</v>
      </c>
      <c r="M31" s="14">
        <v>20.0</v>
      </c>
      <c r="N31" s="14">
        <v>20.0</v>
      </c>
      <c r="O31" s="14">
        <v>20.0</v>
      </c>
      <c r="P31" s="14">
        <v>20.0</v>
      </c>
      <c r="Q31" s="14">
        <v>20.0</v>
      </c>
      <c r="R31" s="14">
        <v>20.0</v>
      </c>
      <c r="S31" s="14">
        <v>20.0</v>
      </c>
      <c r="T31" s="14">
        <v>20.0</v>
      </c>
      <c r="U31" s="14">
        <v>20.0</v>
      </c>
      <c r="V31" s="14">
        <v>20.0</v>
      </c>
      <c r="W31" s="14">
        <v>20.0</v>
      </c>
      <c r="X31" s="14">
        <v>20.0</v>
      </c>
      <c r="Y31" s="14">
        <v>20.0</v>
      </c>
      <c r="Z31" s="14">
        <v>20.0</v>
      </c>
      <c r="AA31" s="14">
        <v>20.0</v>
      </c>
      <c r="AB31" s="14">
        <v>20.0</v>
      </c>
      <c r="AC31" s="14">
        <v>20.0</v>
      </c>
      <c r="AD31" s="14">
        <v>20.0</v>
      </c>
      <c r="AE31" s="14">
        <v>20.0</v>
      </c>
      <c r="AF31" s="14">
        <v>20.0</v>
      </c>
      <c r="AG31" s="14">
        <v>20.0</v>
      </c>
      <c r="AH31" s="14">
        <v>20.0</v>
      </c>
      <c r="AI31" s="14">
        <v>20.0</v>
      </c>
      <c r="AJ31" s="14">
        <v>20.0</v>
      </c>
      <c r="AK31" s="14">
        <v>20.0</v>
      </c>
      <c r="AL31" s="14">
        <v>20.0</v>
      </c>
      <c r="AM31" s="14">
        <v>20.0</v>
      </c>
      <c r="AN31" s="14">
        <v>20.0</v>
      </c>
    </row>
    <row r="32">
      <c r="B32" s="6" t="s">
        <v>118</v>
      </c>
      <c r="E32" s="14">
        <v>321.0</v>
      </c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14">
        <v>321.0</v>
      </c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14">
        <v>321.0</v>
      </c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</row>
    <row r="33">
      <c r="C33" s="6" t="s">
        <v>119</v>
      </c>
      <c r="E33" s="14">
        <v>0.0</v>
      </c>
      <c r="F33" s="14">
        <v>0.0</v>
      </c>
      <c r="G33" s="14">
        <v>0.0</v>
      </c>
      <c r="H33" s="14">
        <v>0.0</v>
      </c>
      <c r="I33" s="14">
        <v>0.0</v>
      </c>
      <c r="J33" s="14">
        <v>0.0</v>
      </c>
      <c r="K33" s="14">
        <v>0.0</v>
      </c>
      <c r="L33" s="14">
        <v>0.0</v>
      </c>
      <c r="M33" s="14">
        <v>0.0</v>
      </c>
      <c r="N33" s="14">
        <v>0.0</v>
      </c>
      <c r="O33" s="14">
        <v>0.0</v>
      </c>
      <c r="P33" s="14">
        <v>0.0</v>
      </c>
      <c r="Q33" s="14">
        <v>4000.0</v>
      </c>
      <c r="R33" s="14">
        <v>4000.0</v>
      </c>
      <c r="S33" s="14">
        <v>4000.0</v>
      </c>
      <c r="T33" s="14">
        <v>4000.0</v>
      </c>
      <c r="U33" s="14">
        <v>4000.0</v>
      </c>
      <c r="V33" s="14">
        <v>4000.0</v>
      </c>
      <c r="W33" s="14">
        <v>4000.0</v>
      </c>
      <c r="X33" s="14">
        <v>4000.0</v>
      </c>
      <c r="Y33" s="14">
        <v>4000.0</v>
      </c>
      <c r="Z33" s="14">
        <v>4000.0</v>
      </c>
      <c r="AA33" s="14">
        <v>4000.0</v>
      </c>
      <c r="AB33" s="14">
        <v>4000.0</v>
      </c>
      <c r="AC33" s="14">
        <v>4000.0</v>
      </c>
      <c r="AD33" s="14">
        <v>4000.0</v>
      </c>
      <c r="AE33" s="14">
        <v>4000.0</v>
      </c>
      <c r="AF33" s="14">
        <v>4000.0</v>
      </c>
      <c r="AG33" s="14">
        <v>4000.0</v>
      </c>
      <c r="AH33" s="14">
        <v>4000.0</v>
      </c>
      <c r="AI33" s="14">
        <v>4000.0</v>
      </c>
      <c r="AJ33" s="14">
        <v>4000.0</v>
      </c>
      <c r="AK33" s="14">
        <v>4000.0</v>
      </c>
      <c r="AL33" s="14">
        <v>4000.0</v>
      </c>
      <c r="AM33" s="14">
        <v>4000.0</v>
      </c>
      <c r="AN33" s="14">
        <v>4000.0</v>
      </c>
    </row>
    <row r="34">
      <c r="B34" s="6"/>
      <c r="E34" s="14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</row>
    <row r="35">
      <c r="B35" s="6" t="s">
        <v>120</v>
      </c>
      <c r="E35" s="14">
        <v>60.0</v>
      </c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</row>
    <row r="36">
      <c r="B36" s="6" t="s">
        <v>121</v>
      </c>
      <c r="E36" s="14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</row>
    <row r="37">
      <c r="B37" s="6" t="s">
        <v>122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</row>
    <row r="38">
      <c r="B38" s="6" t="s">
        <v>123</v>
      </c>
      <c r="E38" s="37"/>
      <c r="F38" s="37"/>
      <c r="G38" s="14">
        <v>0.0</v>
      </c>
      <c r="H38" s="37"/>
      <c r="I38" s="37"/>
      <c r="J38" s="37"/>
      <c r="K38" s="37"/>
      <c r="L38" s="37"/>
      <c r="M38" s="37"/>
      <c r="N38" s="37"/>
      <c r="O38" s="37"/>
      <c r="P38" s="14">
        <v>0.0</v>
      </c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14">
        <v>100.0</v>
      </c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14">
        <v>100.0</v>
      </c>
    </row>
    <row r="39">
      <c r="B39" s="6" t="s">
        <v>124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</row>
    <row r="40"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</row>
    <row r="41">
      <c r="A41" s="3" t="s">
        <v>125</v>
      </c>
      <c r="B41" s="3"/>
      <c r="C41" s="4"/>
      <c r="D41" s="4"/>
      <c r="E41" s="5">
        <f t="shared" ref="E41:AN41" si="7">-SUM(E42:E45)</f>
        <v>-40</v>
      </c>
      <c r="F41" s="5">
        <f t="shared" si="7"/>
        <v>-40</v>
      </c>
      <c r="G41" s="5">
        <f t="shared" si="7"/>
        <v>-40</v>
      </c>
      <c r="H41" s="5">
        <f t="shared" si="7"/>
        <v>-40</v>
      </c>
      <c r="I41" s="5">
        <f t="shared" si="7"/>
        <v>-40</v>
      </c>
      <c r="J41" s="5">
        <f t="shared" si="7"/>
        <v>-40</v>
      </c>
      <c r="K41" s="5">
        <f t="shared" si="7"/>
        <v>-40</v>
      </c>
      <c r="L41" s="5">
        <f t="shared" si="7"/>
        <v>-40</v>
      </c>
      <c r="M41" s="5">
        <f t="shared" si="7"/>
        <v>-40</v>
      </c>
      <c r="N41" s="5">
        <f t="shared" si="7"/>
        <v>-40</v>
      </c>
      <c r="O41" s="5">
        <f t="shared" si="7"/>
        <v>-40</v>
      </c>
      <c r="P41" s="5">
        <f t="shared" si="7"/>
        <v>-40</v>
      </c>
      <c r="Q41" s="5">
        <f t="shared" si="7"/>
        <v>-40</v>
      </c>
      <c r="R41" s="5">
        <f t="shared" si="7"/>
        <v>-40</v>
      </c>
      <c r="S41" s="5">
        <f t="shared" si="7"/>
        <v>-40</v>
      </c>
      <c r="T41" s="5">
        <f t="shared" si="7"/>
        <v>-40</v>
      </c>
      <c r="U41" s="5">
        <f t="shared" si="7"/>
        <v>-40</v>
      </c>
      <c r="V41" s="5">
        <f t="shared" si="7"/>
        <v>-40</v>
      </c>
      <c r="W41" s="5">
        <f t="shared" si="7"/>
        <v>-40</v>
      </c>
      <c r="X41" s="5">
        <f t="shared" si="7"/>
        <v>-40</v>
      </c>
      <c r="Y41" s="5">
        <f t="shared" si="7"/>
        <v>-40</v>
      </c>
      <c r="Z41" s="5">
        <f t="shared" si="7"/>
        <v>-40</v>
      </c>
      <c r="AA41" s="5">
        <f t="shared" si="7"/>
        <v>-40</v>
      </c>
      <c r="AB41" s="5">
        <f t="shared" si="7"/>
        <v>-40</v>
      </c>
      <c r="AC41" s="5">
        <f t="shared" si="7"/>
        <v>-40</v>
      </c>
      <c r="AD41" s="5">
        <f t="shared" si="7"/>
        <v>-40</v>
      </c>
      <c r="AE41" s="5">
        <f t="shared" si="7"/>
        <v>-40</v>
      </c>
      <c r="AF41" s="5">
        <f t="shared" si="7"/>
        <v>-40</v>
      </c>
      <c r="AG41" s="5">
        <f t="shared" si="7"/>
        <v>-40</v>
      </c>
      <c r="AH41" s="5">
        <f t="shared" si="7"/>
        <v>-40</v>
      </c>
      <c r="AI41" s="5">
        <f t="shared" si="7"/>
        <v>-40</v>
      </c>
      <c r="AJ41" s="5">
        <f t="shared" si="7"/>
        <v>-40</v>
      </c>
      <c r="AK41" s="5">
        <f t="shared" si="7"/>
        <v>-40</v>
      </c>
      <c r="AL41" s="5">
        <f t="shared" si="7"/>
        <v>-40</v>
      </c>
      <c r="AM41" s="5">
        <f t="shared" si="7"/>
        <v>-40</v>
      </c>
      <c r="AN41" s="5">
        <f t="shared" si="7"/>
        <v>-40</v>
      </c>
    </row>
    <row r="42">
      <c r="A42" s="6" t="s">
        <v>126</v>
      </c>
      <c r="B42" s="6"/>
      <c r="E42" s="14">
        <v>20.0</v>
      </c>
      <c r="F42" s="14">
        <v>20.0</v>
      </c>
      <c r="G42" s="14">
        <v>20.0</v>
      </c>
      <c r="H42" s="14">
        <v>20.0</v>
      </c>
      <c r="I42" s="14">
        <v>20.0</v>
      </c>
      <c r="J42" s="14">
        <v>20.0</v>
      </c>
      <c r="K42" s="14">
        <v>20.0</v>
      </c>
      <c r="L42" s="14">
        <v>20.0</v>
      </c>
      <c r="M42" s="14">
        <v>20.0</v>
      </c>
      <c r="N42" s="14">
        <v>20.0</v>
      </c>
      <c r="O42" s="14">
        <v>20.0</v>
      </c>
      <c r="P42" s="14">
        <v>20.0</v>
      </c>
      <c r="Q42" s="14">
        <v>20.0</v>
      </c>
      <c r="R42" s="14">
        <v>20.0</v>
      </c>
      <c r="S42" s="14">
        <v>20.0</v>
      </c>
      <c r="T42" s="14">
        <v>20.0</v>
      </c>
      <c r="U42" s="14">
        <v>20.0</v>
      </c>
      <c r="V42" s="14">
        <v>20.0</v>
      </c>
      <c r="W42" s="14">
        <v>20.0</v>
      </c>
      <c r="X42" s="14">
        <v>20.0</v>
      </c>
      <c r="Y42" s="14">
        <v>20.0</v>
      </c>
      <c r="Z42" s="14">
        <v>20.0</v>
      </c>
      <c r="AA42" s="14">
        <v>20.0</v>
      </c>
      <c r="AB42" s="14">
        <v>20.0</v>
      </c>
      <c r="AC42" s="14">
        <v>20.0</v>
      </c>
      <c r="AD42" s="14">
        <v>20.0</v>
      </c>
      <c r="AE42" s="14">
        <v>20.0</v>
      </c>
      <c r="AF42" s="14">
        <v>20.0</v>
      </c>
      <c r="AG42" s="14">
        <v>20.0</v>
      </c>
      <c r="AH42" s="14">
        <v>20.0</v>
      </c>
      <c r="AI42" s="14">
        <v>20.0</v>
      </c>
      <c r="AJ42" s="14">
        <v>20.0</v>
      </c>
      <c r="AK42" s="14">
        <v>20.0</v>
      </c>
      <c r="AL42" s="14">
        <v>20.0</v>
      </c>
      <c r="AM42" s="14">
        <v>20.0</v>
      </c>
      <c r="AN42" s="14">
        <v>20.0</v>
      </c>
    </row>
    <row r="43">
      <c r="A43" s="6" t="s">
        <v>127</v>
      </c>
      <c r="B43" s="6"/>
      <c r="E43" s="14">
        <v>20.0</v>
      </c>
      <c r="F43" s="14">
        <v>20.0</v>
      </c>
      <c r="G43" s="14">
        <v>20.0</v>
      </c>
      <c r="H43" s="14">
        <v>20.0</v>
      </c>
      <c r="I43" s="14">
        <v>20.0</v>
      </c>
      <c r="J43" s="14">
        <v>20.0</v>
      </c>
      <c r="K43" s="14">
        <v>20.0</v>
      </c>
      <c r="L43" s="14">
        <v>20.0</v>
      </c>
      <c r="M43" s="14">
        <v>20.0</v>
      </c>
      <c r="N43" s="14">
        <v>20.0</v>
      </c>
      <c r="O43" s="14">
        <v>20.0</v>
      </c>
      <c r="P43" s="14">
        <v>20.0</v>
      </c>
      <c r="Q43" s="14">
        <v>20.0</v>
      </c>
      <c r="R43" s="14">
        <v>20.0</v>
      </c>
      <c r="S43" s="14">
        <v>20.0</v>
      </c>
      <c r="T43" s="14">
        <v>20.0</v>
      </c>
      <c r="U43" s="14">
        <v>20.0</v>
      </c>
      <c r="V43" s="14">
        <v>20.0</v>
      </c>
      <c r="W43" s="14">
        <v>20.0</v>
      </c>
      <c r="X43" s="14">
        <v>20.0</v>
      </c>
      <c r="Y43" s="14">
        <v>20.0</v>
      </c>
      <c r="Z43" s="14">
        <v>20.0</v>
      </c>
      <c r="AA43" s="14">
        <v>20.0</v>
      </c>
      <c r="AB43" s="14">
        <v>20.0</v>
      </c>
      <c r="AC43" s="14">
        <v>20.0</v>
      </c>
      <c r="AD43" s="14">
        <v>20.0</v>
      </c>
      <c r="AE43" s="14">
        <v>20.0</v>
      </c>
      <c r="AF43" s="14">
        <v>20.0</v>
      </c>
      <c r="AG43" s="14">
        <v>20.0</v>
      </c>
      <c r="AH43" s="14">
        <v>20.0</v>
      </c>
      <c r="AI43" s="14">
        <v>20.0</v>
      </c>
      <c r="AJ43" s="14">
        <v>20.0</v>
      </c>
      <c r="AK43" s="14">
        <v>20.0</v>
      </c>
      <c r="AL43" s="14">
        <v>20.0</v>
      </c>
      <c r="AM43" s="14">
        <v>20.0</v>
      </c>
      <c r="AN43" s="14">
        <v>20.0</v>
      </c>
    </row>
    <row r="44">
      <c r="A44" s="6" t="s">
        <v>128</v>
      </c>
      <c r="B44" s="6"/>
    </row>
    <row r="48">
      <c r="A48" s="3" t="s">
        <v>129</v>
      </c>
      <c r="B48" s="3"/>
      <c r="C48" s="4"/>
      <c r="D48" s="4"/>
      <c r="E48" s="5">
        <f t="shared" ref="E48:AN48" si="8">-SUM(E49:E52)</f>
        <v>-40</v>
      </c>
      <c r="F48" s="5">
        <f t="shared" si="8"/>
        <v>-40</v>
      </c>
      <c r="G48" s="5">
        <f t="shared" si="8"/>
        <v>-40</v>
      </c>
      <c r="H48" s="5">
        <f t="shared" si="8"/>
        <v>-40</v>
      </c>
      <c r="I48" s="5">
        <f t="shared" si="8"/>
        <v>-40</v>
      </c>
      <c r="J48" s="5">
        <f t="shared" si="8"/>
        <v>-40</v>
      </c>
      <c r="K48" s="5">
        <f t="shared" si="8"/>
        <v>-40</v>
      </c>
      <c r="L48" s="5">
        <f t="shared" si="8"/>
        <v>-40</v>
      </c>
      <c r="M48" s="5">
        <f t="shared" si="8"/>
        <v>-40</v>
      </c>
      <c r="N48" s="5">
        <f t="shared" si="8"/>
        <v>-40</v>
      </c>
      <c r="O48" s="5">
        <f t="shared" si="8"/>
        <v>-40</v>
      </c>
      <c r="P48" s="5">
        <f t="shared" si="8"/>
        <v>-40</v>
      </c>
      <c r="Q48" s="5">
        <f t="shared" si="8"/>
        <v>-40</v>
      </c>
      <c r="R48" s="5">
        <f t="shared" si="8"/>
        <v>-40</v>
      </c>
      <c r="S48" s="5">
        <f t="shared" si="8"/>
        <v>-40</v>
      </c>
      <c r="T48" s="5">
        <f t="shared" si="8"/>
        <v>-40</v>
      </c>
      <c r="U48" s="5">
        <f t="shared" si="8"/>
        <v>-40</v>
      </c>
      <c r="V48" s="5">
        <f t="shared" si="8"/>
        <v>-40</v>
      </c>
      <c r="W48" s="5">
        <f t="shared" si="8"/>
        <v>-40</v>
      </c>
      <c r="X48" s="5">
        <f t="shared" si="8"/>
        <v>-40</v>
      </c>
      <c r="Y48" s="5">
        <f t="shared" si="8"/>
        <v>-40</v>
      </c>
      <c r="Z48" s="5">
        <f t="shared" si="8"/>
        <v>-40</v>
      </c>
      <c r="AA48" s="5">
        <f t="shared" si="8"/>
        <v>-40</v>
      </c>
      <c r="AB48" s="5">
        <f t="shared" si="8"/>
        <v>-40</v>
      </c>
      <c r="AC48" s="5">
        <f t="shared" si="8"/>
        <v>-40</v>
      </c>
      <c r="AD48" s="5">
        <f t="shared" si="8"/>
        <v>-40</v>
      </c>
      <c r="AE48" s="5">
        <f t="shared" si="8"/>
        <v>-40</v>
      </c>
      <c r="AF48" s="5">
        <f t="shared" si="8"/>
        <v>-40</v>
      </c>
      <c r="AG48" s="5">
        <f t="shared" si="8"/>
        <v>-40</v>
      </c>
      <c r="AH48" s="5">
        <f t="shared" si="8"/>
        <v>-40</v>
      </c>
      <c r="AI48" s="5">
        <f t="shared" si="8"/>
        <v>-40</v>
      </c>
      <c r="AJ48" s="5">
        <f t="shared" si="8"/>
        <v>-40</v>
      </c>
      <c r="AK48" s="5">
        <f t="shared" si="8"/>
        <v>-40</v>
      </c>
      <c r="AL48" s="5">
        <f t="shared" si="8"/>
        <v>-40</v>
      </c>
      <c r="AM48" s="5">
        <f t="shared" si="8"/>
        <v>-40</v>
      </c>
      <c r="AN48" s="5">
        <f t="shared" si="8"/>
        <v>-40</v>
      </c>
    </row>
    <row r="49">
      <c r="A49" s="6" t="s">
        <v>130</v>
      </c>
      <c r="C49" s="6" t="s">
        <v>119</v>
      </c>
      <c r="E49" s="14">
        <v>20.0</v>
      </c>
      <c r="F49" s="14">
        <v>20.0</v>
      </c>
      <c r="G49" s="14">
        <v>20.0</v>
      </c>
      <c r="H49" s="14">
        <v>20.0</v>
      </c>
      <c r="I49" s="14">
        <v>20.0</v>
      </c>
      <c r="J49" s="14">
        <v>20.0</v>
      </c>
      <c r="K49" s="14">
        <v>20.0</v>
      </c>
      <c r="L49" s="14">
        <v>20.0</v>
      </c>
      <c r="M49" s="14">
        <v>20.0</v>
      </c>
      <c r="N49" s="14">
        <v>20.0</v>
      </c>
      <c r="O49" s="14">
        <v>20.0</v>
      </c>
      <c r="P49" s="14">
        <v>20.0</v>
      </c>
      <c r="Q49" s="14">
        <v>20.0</v>
      </c>
      <c r="R49" s="14">
        <v>20.0</v>
      </c>
      <c r="S49" s="14">
        <v>20.0</v>
      </c>
      <c r="T49" s="14">
        <v>20.0</v>
      </c>
      <c r="U49" s="14">
        <v>20.0</v>
      </c>
      <c r="V49" s="14">
        <v>20.0</v>
      </c>
      <c r="W49" s="14">
        <v>20.0</v>
      </c>
      <c r="X49" s="14">
        <v>20.0</v>
      </c>
      <c r="Y49" s="14">
        <v>20.0</v>
      </c>
      <c r="Z49" s="14">
        <v>20.0</v>
      </c>
      <c r="AA49" s="14">
        <v>20.0</v>
      </c>
      <c r="AB49" s="14">
        <v>20.0</v>
      </c>
      <c r="AC49" s="14">
        <v>20.0</v>
      </c>
      <c r="AD49" s="14">
        <v>20.0</v>
      </c>
      <c r="AE49" s="14">
        <v>20.0</v>
      </c>
      <c r="AF49" s="14">
        <v>20.0</v>
      </c>
      <c r="AG49" s="14">
        <v>20.0</v>
      </c>
      <c r="AH49" s="14">
        <v>20.0</v>
      </c>
      <c r="AI49" s="14">
        <v>20.0</v>
      </c>
      <c r="AJ49" s="14">
        <v>20.0</v>
      </c>
      <c r="AK49" s="14">
        <v>20.0</v>
      </c>
      <c r="AL49" s="14">
        <v>20.0</v>
      </c>
      <c r="AM49" s="14">
        <v>20.0</v>
      </c>
      <c r="AN49" s="14">
        <v>20.0</v>
      </c>
    </row>
    <row r="50">
      <c r="B50" s="6"/>
      <c r="E50" s="14">
        <v>20.0</v>
      </c>
      <c r="F50" s="14">
        <v>20.0</v>
      </c>
      <c r="G50" s="14">
        <v>20.0</v>
      </c>
      <c r="H50" s="14">
        <v>20.0</v>
      </c>
      <c r="I50" s="14">
        <v>20.0</v>
      </c>
      <c r="J50" s="14">
        <v>20.0</v>
      </c>
      <c r="K50" s="14">
        <v>20.0</v>
      </c>
      <c r="L50" s="14">
        <v>20.0</v>
      </c>
      <c r="M50" s="14">
        <v>20.0</v>
      </c>
      <c r="N50" s="14">
        <v>20.0</v>
      </c>
      <c r="O50" s="14">
        <v>20.0</v>
      </c>
      <c r="P50" s="14">
        <v>20.0</v>
      </c>
      <c r="Q50" s="14">
        <v>20.0</v>
      </c>
      <c r="R50" s="14">
        <v>20.0</v>
      </c>
      <c r="S50" s="14">
        <v>20.0</v>
      </c>
      <c r="T50" s="14">
        <v>20.0</v>
      </c>
      <c r="U50" s="14">
        <v>20.0</v>
      </c>
      <c r="V50" s="14">
        <v>20.0</v>
      </c>
      <c r="W50" s="14">
        <v>20.0</v>
      </c>
      <c r="X50" s="14">
        <v>20.0</v>
      </c>
      <c r="Y50" s="14">
        <v>20.0</v>
      </c>
      <c r="Z50" s="14">
        <v>20.0</v>
      </c>
      <c r="AA50" s="14">
        <v>20.0</v>
      </c>
      <c r="AB50" s="14">
        <v>20.0</v>
      </c>
      <c r="AC50" s="14">
        <v>20.0</v>
      </c>
      <c r="AD50" s="14">
        <v>20.0</v>
      </c>
      <c r="AE50" s="14">
        <v>20.0</v>
      </c>
      <c r="AF50" s="14">
        <v>20.0</v>
      </c>
      <c r="AG50" s="14">
        <v>20.0</v>
      </c>
      <c r="AH50" s="14">
        <v>20.0</v>
      </c>
      <c r="AI50" s="14">
        <v>20.0</v>
      </c>
      <c r="AJ50" s="14">
        <v>20.0</v>
      </c>
      <c r="AK50" s="14">
        <v>20.0</v>
      </c>
      <c r="AL50" s="14">
        <v>20.0</v>
      </c>
      <c r="AM50" s="14">
        <v>20.0</v>
      </c>
      <c r="AN50" s="14">
        <v>20.0</v>
      </c>
    </row>
    <row r="51">
      <c r="B51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67.13"/>
  </cols>
  <sheetData>
    <row r="1">
      <c r="C1" s="6">
        <v>2026.0</v>
      </c>
      <c r="D1" s="6">
        <v>2027.0</v>
      </c>
      <c r="E1" s="6">
        <v>2028.0</v>
      </c>
      <c r="F1" s="6">
        <v>2029.0</v>
      </c>
    </row>
    <row r="2">
      <c r="A2" s="3" t="s">
        <v>131</v>
      </c>
      <c r="B2" s="4"/>
      <c r="C2" s="35">
        <f t="shared" ref="C2:F2" si="1">SUM(C3:C12)</f>
        <v>7004</v>
      </c>
      <c r="D2" s="35">
        <f t="shared" si="1"/>
        <v>7004</v>
      </c>
      <c r="E2" s="35">
        <f t="shared" si="1"/>
        <v>7004</v>
      </c>
      <c r="F2" s="35">
        <f t="shared" si="1"/>
        <v>7004</v>
      </c>
    </row>
    <row r="3">
      <c r="B3" s="6" t="s">
        <v>132</v>
      </c>
      <c r="C3" s="36">
        <v>4000.0</v>
      </c>
      <c r="D3" s="36">
        <v>4000.0</v>
      </c>
      <c r="E3" s="36">
        <v>4000.0</v>
      </c>
      <c r="F3" s="36">
        <v>4000.0</v>
      </c>
    </row>
    <row r="4">
      <c r="B4" s="6" t="s">
        <v>133</v>
      </c>
      <c r="C4" s="36" t="s">
        <v>134</v>
      </c>
      <c r="D4" s="36" t="s">
        <v>134</v>
      </c>
      <c r="E4" s="36" t="s">
        <v>134</v>
      </c>
      <c r="F4" s="36" t="s">
        <v>134</v>
      </c>
    </row>
    <row r="5">
      <c r="B5" s="6" t="s">
        <v>135</v>
      </c>
      <c r="C5" s="36">
        <v>510.0</v>
      </c>
      <c r="D5" s="36">
        <v>510.0</v>
      </c>
      <c r="E5" s="36">
        <v>510.0</v>
      </c>
      <c r="F5" s="36">
        <v>510.0</v>
      </c>
    </row>
    <row r="6">
      <c r="B6" s="6" t="s">
        <v>136</v>
      </c>
      <c r="C6" s="36" t="s">
        <v>134</v>
      </c>
      <c r="D6" s="36" t="s">
        <v>134</v>
      </c>
      <c r="E6" s="36" t="s">
        <v>134</v>
      </c>
      <c r="F6" s="36" t="s">
        <v>134</v>
      </c>
    </row>
    <row r="7">
      <c r="B7" s="6" t="s">
        <v>137</v>
      </c>
      <c r="C7" s="36" t="s">
        <v>134</v>
      </c>
      <c r="D7" s="36" t="s">
        <v>134</v>
      </c>
      <c r="E7" s="36" t="s">
        <v>134</v>
      </c>
      <c r="F7" s="36" t="s">
        <v>134</v>
      </c>
    </row>
    <row r="8">
      <c r="B8" s="6" t="s">
        <v>138</v>
      </c>
      <c r="C8" s="36">
        <v>1750.0</v>
      </c>
      <c r="D8" s="36">
        <v>1750.0</v>
      </c>
      <c r="E8" s="36">
        <v>1750.0</v>
      </c>
      <c r="F8" s="36">
        <v>1750.0</v>
      </c>
    </row>
    <row r="9">
      <c r="B9" s="6" t="s">
        <v>139</v>
      </c>
      <c r="C9" s="36">
        <v>544.0</v>
      </c>
      <c r="D9" s="36">
        <v>544.0</v>
      </c>
      <c r="E9" s="36">
        <v>544.0</v>
      </c>
      <c r="F9" s="36">
        <v>544.0</v>
      </c>
    </row>
    <row r="10">
      <c r="B10" s="6" t="s">
        <v>140</v>
      </c>
      <c r="C10" s="36">
        <v>200.0</v>
      </c>
      <c r="D10" s="36">
        <v>200.0</v>
      </c>
      <c r="E10" s="36">
        <v>200.0</v>
      </c>
      <c r="F10" s="36">
        <v>200.0</v>
      </c>
    </row>
    <row r="11">
      <c r="B11" s="6" t="s">
        <v>141</v>
      </c>
      <c r="C11" s="36" t="s">
        <v>134</v>
      </c>
      <c r="D11" s="36" t="s">
        <v>134</v>
      </c>
      <c r="E11" s="36" t="s">
        <v>134</v>
      </c>
      <c r="F11" s="36" t="s">
        <v>134</v>
      </c>
    </row>
    <row r="12">
      <c r="C12" s="7"/>
      <c r="D12" s="7"/>
      <c r="E12" s="7"/>
      <c r="F12" s="7"/>
    </row>
    <row r="13">
      <c r="A13" s="3" t="s">
        <v>142</v>
      </c>
      <c r="B13" s="4"/>
      <c r="C13" s="5">
        <f t="shared" ref="C13:F13" si="2">-SUM(C14:C32)</f>
        <v>-11100.26</v>
      </c>
      <c r="D13" s="5">
        <f t="shared" si="2"/>
        <v>-10863.01</v>
      </c>
      <c r="E13" s="5">
        <f t="shared" si="2"/>
        <v>-10863.01</v>
      </c>
      <c r="F13" s="5">
        <f t="shared" si="2"/>
        <v>-10844.26</v>
      </c>
    </row>
    <row r="14">
      <c r="B14" s="6" t="s">
        <v>143</v>
      </c>
      <c r="C14" s="36">
        <v>150.0</v>
      </c>
      <c r="D14" s="36">
        <v>150.0</v>
      </c>
      <c r="E14" s="36">
        <v>150.0</v>
      </c>
      <c r="F14" s="36">
        <v>150.0</v>
      </c>
    </row>
    <row r="15">
      <c r="B15" s="6" t="s">
        <v>144</v>
      </c>
      <c r="C15" s="7">
        <f t="shared" ref="C15:F15" si="3">350+400</f>
        <v>750</v>
      </c>
      <c r="D15" s="7">
        <f t="shared" si="3"/>
        <v>750</v>
      </c>
      <c r="E15" s="7">
        <f t="shared" si="3"/>
        <v>750</v>
      </c>
      <c r="F15" s="7">
        <f t="shared" si="3"/>
        <v>750</v>
      </c>
    </row>
    <row r="16">
      <c r="B16" s="6" t="s">
        <v>145</v>
      </c>
      <c r="C16" s="36">
        <v>600.0</v>
      </c>
      <c r="D16" s="36">
        <v>600.0</v>
      </c>
      <c r="E16" s="36">
        <v>600.0</v>
      </c>
      <c r="F16" s="36">
        <v>600.0</v>
      </c>
    </row>
    <row r="17">
      <c r="B17" s="6" t="s">
        <v>146</v>
      </c>
      <c r="C17" s="36" t="s">
        <v>134</v>
      </c>
      <c r="D17" s="36" t="s">
        <v>134</v>
      </c>
      <c r="E17" s="36" t="s">
        <v>134</v>
      </c>
      <c r="F17" s="36" t="s">
        <v>134</v>
      </c>
    </row>
    <row r="18">
      <c r="B18" s="6" t="s">
        <v>147</v>
      </c>
      <c r="C18" s="36">
        <v>100.0</v>
      </c>
      <c r="D18" s="36">
        <v>100.0</v>
      </c>
      <c r="E18" s="36">
        <v>100.0</v>
      </c>
      <c r="F18" s="36">
        <v>100.0</v>
      </c>
    </row>
    <row r="19">
      <c r="B19" s="6" t="s">
        <v>148</v>
      </c>
      <c r="C19" s="36">
        <v>400.0</v>
      </c>
      <c r="D19" s="36">
        <v>400.0</v>
      </c>
      <c r="E19" s="36">
        <v>400.0</v>
      </c>
      <c r="F19" s="36">
        <v>400.0</v>
      </c>
    </row>
    <row r="20">
      <c r="B20" s="6" t="s">
        <v>149</v>
      </c>
      <c r="C20" s="36">
        <v>150.0</v>
      </c>
      <c r="D20" s="36">
        <v>150.0</v>
      </c>
      <c r="E20" s="36">
        <v>150.0</v>
      </c>
      <c r="F20" s="36">
        <v>150.0</v>
      </c>
    </row>
    <row r="21">
      <c r="B21" s="6" t="s">
        <v>150</v>
      </c>
      <c r="C21" s="36">
        <v>10.0</v>
      </c>
      <c r="D21" s="36">
        <v>10.0</v>
      </c>
      <c r="E21" s="36">
        <v>10.0</v>
      </c>
      <c r="F21" s="36">
        <v>10.0</v>
      </c>
    </row>
    <row r="22">
      <c r="B22" s="6" t="s">
        <v>151</v>
      </c>
      <c r="C22" s="36">
        <v>500.0</v>
      </c>
      <c r="D22" s="36">
        <v>500.0</v>
      </c>
      <c r="E22" s="36">
        <v>500.0</v>
      </c>
      <c r="F22" s="36">
        <v>500.0</v>
      </c>
    </row>
    <row r="23">
      <c r="B23" s="6" t="s">
        <v>152</v>
      </c>
      <c r="C23" s="36">
        <v>1800.0</v>
      </c>
      <c r="D23" s="36">
        <v>1800.0</v>
      </c>
      <c r="E23" s="36">
        <v>1800.0</v>
      </c>
      <c r="F23" s="36">
        <v>1800.0</v>
      </c>
    </row>
    <row r="24">
      <c r="C24" s="36"/>
      <c r="D24" s="36"/>
      <c r="E24" s="36"/>
      <c r="F24" s="36"/>
    </row>
    <row r="25">
      <c r="B25" s="6" t="s">
        <v>153</v>
      </c>
      <c r="C25" s="36" t="s">
        <v>134</v>
      </c>
      <c r="D25" s="36" t="s">
        <v>134</v>
      </c>
      <c r="E25" s="36" t="s">
        <v>134</v>
      </c>
      <c r="F25" s="36" t="s">
        <v>134</v>
      </c>
    </row>
    <row r="26">
      <c r="B26" s="6" t="s">
        <v>154</v>
      </c>
      <c r="C26" s="36">
        <v>1000.0</v>
      </c>
      <c r="D26" s="36">
        <v>1000.0</v>
      </c>
      <c r="E26" s="36">
        <v>1000.0</v>
      </c>
      <c r="F26" s="36">
        <v>1000.0</v>
      </c>
    </row>
    <row r="27">
      <c r="B27" s="6" t="s">
        <v>155</v>
      </c>
      <c r="C27" s="36">
        <v>400.0</v>
      </c>
      <c r="D27" s="36">
        <v>400.0</v>
      </c>
      <c r="E27" s="36">
        <v>400.0</v>
      </c>
      <c r="F27" s="36">
        <v>400.0</v>
      </c>
    </row>
    <row r="28">
      <c r="B28" s="6" t="s">
        <v>156</v>
      </c>
      <c r="C28" s="36">
        <f t="shared" ref="C28:F28" si="4">1423.75 + 559</f>
        <v>1982.75</v>
      </c>
      <c r="D28" s="36">
        <f t="shared" si="4"/>
        <v>1982.75</v>
      </c>
      <c r="E28" s="36">
        <f t="shared" si="4"/>
        <v>1982.75</v>
      </c>
      <c r="F28" s="36">
        <f t="shared" si="4"/>
        <v>1982.75</v>
      </c>
    </row>
    <row r="29">
      <c r="B29" s="6" t="s">
        <v>157</v>
      </c>
      <c r="C29" s="36">
        <v>297.26</v>
      </c>
      <c r="D29" s="36">
        <v>297.26</v>
      </c>
      <c r="E29" s="36">
        <v>297.26</v>
      </c>
      <c r="F29" s="36">
        <v>297.26</v>
      </c>
    </row>
    <row r="30">
      <c r="B30" s="6" t="s">
        <v>158</v>
      </c>
      <c r="C30" s="36">
        <v>2300.0</v>
      </c>
      <c r="D30" s="36">
        <v>2300.0</v>
      </c>
      <c r="E30" s="36">
        <v>2300.0</v>
      </c>
      <c r="F30" s="36">
        <v>2300.0</v>
      </c>
    </row>
    <row r="31">
      <c r="B31" s="6" t="s">
        <v>159</v>
      </c>
      <c r="C31" s="7">
        <f>268+75</f>
        <v>343</v>
      </c>
      <c r="D31" s="36">
        <f t="shared" ref="D31:E31" si="5">348+75</f>
        <v>423</v>
      </c>
      <c r="E31" s="36">
        <f t="shared" si="5"/>
        <v>423</v>
      </c>
      <c r="F31" s="36">
        <f>348+75*3/4</f>
        <v>404.25</v>
      </c>
    </row>
    <row r="32">
      <c r="B32" s="6" t="s">
        <v>160</v>
      </c>
      <c r="C32" s="36">
        <f>(348+75)*3/4</f>
        <v>317.25</v>
      </c>
      <c r="D32" s="36">
        <v>0.0</v>
      </c>
      <c r="E32" s="36">
        <v>0.0</v>
      </c>
      <c r="F32" s="36">
        <v>0.0</v>
      </c>
    </row>
    <row r="33">
      <c r="C33" s="7"/>
      <c r="D33" s="7"/>
      <c r="E33" s="7"/>
      <c r="F33" s="7"/>
    </row>
    <row r="34">
      <c r="A34" s="6" t="s">
        <v>161</v>
      </c>
      <c r="C34" s="7"/>
      <c r="D34" s="7"/>
      <c r="E34" s="7"/>
      <c r="F34" s="7"/>
    </row>
    <row r="35">
      <c r="A35" s="6" t="s">
        <v>162</v>
      </c>
      <c r="C35" s="7"/>
      <c r="D35" s="7"/>
      <c r="E35" s="7"/>
      <c r="F35" s="7"/>
    </row>
    <row r="36">
      <c r="C36" s="7"/>
      <c r="D36" s="7"/>
      <c r="E36" s="7"/>
      <c r="F36" s="7"/>
    </row>
    <row r="37">
      <c r="A37" s="6" t="s">
        <v>163</v>
      </c>
      <c r="C37" s="36">
        <f t="shared" ref="C37:F37" si="6">C2+C13</f>
        <v>-4096.26</v>
      </c>
      <c r="D37" s="36">
        <f t="shared" si="6"/>
        <v>-3859.01</v>
      </c>
      <c r="E37" s="36">
        <f t="shared" si="6"/>
        <v>-3859.01</v>
      </c>
      <c r="F37" s="36">
        <f t="shared" si="6"/>
        <v>-3840.26</v>
      </c>
    </row>
    <row r="38">
      <c r="C38" s="7"/>
      <c r="D38" s="7"/>
      <c r="E38" s="7"/>
      <c r="F38" s="7"/>
    </row>
    <row r="39">
      <c r="C39" s="7"/>
      <c r="D39" s="7"/>
      <c r="E39" s="7"/>
      <c r="F39" s="7"/>
    </row>
    <row r="40">
      <c r="C40" s="7"/>
      <c r="D40" s="7"/>
      <c r="E40" s="7"/>
      <c r="F40" s="7"/>
    </row>
    <row r="41">
      <c r="C41" s="7"/>
      <c r="D41" s="7"/>
      <c r="E41" s="7"/>
      <c r="F41" s="7"/>
    </row>
    <row r="42">
      <c r="C42" s="7"/>
      <c r="D42" s="7"/>
      <c r="E42" s="7"/>
      <c r="F42" s="7"/>
    </row>
    <row r="43">
      <c r="C43" s="15"/>
      <c r="D43" s="15"/>
      <c r="E43" s="15"/>
      <c r="F43" s="15"/>
    </row>
    <row r="44">
      <c r="C44" s="15"/>
      <c r="D44" s="15"/>
      <c r="E44" s="15"/>
      <c r="F44" s="15"/>
    </row>
    <row r="45">
      <c r="C45" s="15"/>
      <c r="D45" s="15"/>
      <c r="E45" s="15"/>
      <c r="F45" s="15"/>
    </row>
    <row r="46">
      <c r="C46" s="15"/>
      <c r="D46" s="15"/>
      <c r="E46" s="15"/>
      <c r="F46" s="15"/>
    </row>
    <row r="47">
      <c r="C47" s="15"/>
      <c r="D47" s="15"/>
      <c r="E47" s="15"/>
      <c r="F47" s="15"/>
    </row>
    <row r="48">
      <c r="C48" s="15"/>
      <c r="D48" s="15"/>
      <c r="E48" s="15"/>
      <c r="F48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A8" s="6" t="s">
        <v>164</v>
      </c>
    </row>
    <row r="9">
      <c r="A9" s="6" t="s">
        <v>165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13"/>
  </cols>
  <sheetData>
    <row r="1">
      <c r="A1" s="6" t="s">
        <v>166</v>
      </c>
      <c r="B1" s="6" t="s">
        <v>167</v>
      </c>
    </row>
    <row r="2">
      <c r="A2" s="6">
        <v>1.0</v>
      </c>
      <c r="B2" s="6" t="s">
        <v>168</v>
      </c>
      <c r="C2" s="38">
        <v>0.5</v>
      </c>
    </row>
    <row r="3">
      <c r="A3" s="6">
        <v>2.0</v>
      </c>
      <c r="B3" s="6" t="s">
        <v>169</v>
      </c>
    </row>
    <row r="4">
      <c r="A4" s="6">
        <v>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