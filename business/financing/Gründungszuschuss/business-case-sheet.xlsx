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Übersicht" sheetId="1" r:id="rId5"/>
    <sheet state="visible" name="Umsatz" sheetId="2" r:id="rId6"/>
    <sheet state="visible" name="Wachstum" sheetId="3" r:id="rId7"/>
    <sheet state="visible" name="Kosten" sheetId="4" r:id="rId8"/>
    <sheet state="visible" name="Investitionen" sheetId="5" r:id="rId9"/>
    <sheet state="visible" name="Liquidität" sheetId="6" r:id="rId10"/>
    <sheet state="visible" name="Rentabilität" sheetId="7" r:id="rId11"/>
    <sheet state="visible" name="Finanzierung" sheetId="8" r:id="rId12"/>
    <sheet state="visible" name="Private Finanzen" sheetId="9" r:id="rId13"/>
    <sheet state="visible" name="Hilfsblatt Steuer" sheetId="10" r:id="rId14"/>
  </sheets>
  <definedNames/>
  <calcPr/>
</workbook>
</file>

<file path=xl/sharedStrings.xml><?xml version="1.0" encoding="utf-8"?>
<sst xmlns="http://schemas.openxmlformats.org/spreadsheetml/2006/main" count="290" uniqueCount="247">
  <si>
    <t>Jahr</t>
  </si>
  <si>
    <t>Monat</t>
  </si>
  <si>
    <t>Revenue</t>
  </si>
  <si>
    <t>Beratungsumsatz</t>
  </si>
  <si>
    <t>Digitaler Umsatz</t>
  </si>
  <si>
    <t># Neue Produktnutzer</t>
  </si>
  <si>
    <t># Total, zahlende Nutzer</t>
  </si>
  <si>
    <t>Standard</t>
  </si>
  <si>
    <t>Premium</t>
  </si>
  <si>
    <t>Monatliches Wachstum</t>
  </si>
  <si>
    <t>n/a</t>
  </si>
  <si>
    <t>Kosten</t>
  </si>
  <si>
    <t>Variable Kosten</t>
  </si>
  <si>
    <t>Variable Operative</t>
  </si>
  <si>
    <t>Fixkosten</t>
  </si>
  <si>
    <t>Finanzierung</t>
  </si>
  <si>
    <t>Private Einlagen</t>
  </si>
  <si>
    <t>Entnahmen</t>
  </si>
  <si>
    <t>Unternehmerlohn</t>
  </si>
  <si>
    <t>Liquidität Monatsende</t>
  </si>
  <si>
    <t xml:space="preserve">Rentabilität </t>
  </si>
  <si>
    <t>Kennzahlen</t>
  </si>
  <si>
    <t>Marge pro Nutzer (ohne Fixkosten)</t>
  </si>
  <si>
    <t>Brutto Marge</t>
  </si>
  <si>
    <t>Fixkostenquote</t>
  </si>
  <si>
    <t>Operative Marge</t>
  </si>
  <si>
    <t>Fixkosten / Bruttomarge - Break-even-Umsatz</t>
  </si>
  <si>
    <t>Monatliches Wachstum (ab 1000 Euro Umsatz)</t>
  </si>
  <si>
    <t>Jährliches Wachstum</t>
  </si>
  <si>
    <t>40 Regel für SAAS Firmen</t>
  </si>
  <si>
    <t>Inputs</t>
  </si>
  <si>
    <t>Calculations</t>
  </si>
  <si>
    <t>Outputs</t>
  </si>
  <si>
    <t>Warnings</t>
  </si>
  <si>
    <t>Total Revenue</t>
  </si>
  <si>
    <t>Digital Service Revenue</t>
  </si>
  <si>
    <t>Freemium Users</t>
  </si>
  <si>
    <t># new users (aus Wachstum)</t>
  </si>
  <si>
    <t># users total</t>
  </si>
  <si>
    <t># active freemium creating cost</t>
  </si>
  <si>
    <t>Anteil Nutzer mit Abonnement</t>
  </si>
  <si>
    <t># users paid new</t>
  </si>
  <si>
    <t>Monthly Churn</t>
  </si>
  <si>
    <t># churning in month</t>
  </si>
  <si>
    <t># users paid total end of month</t>
  </si>
  <si>
    <t>Umsatz - Standard Users</t>
  </si>
  <si>
    <t>Preis Standard User</t>
  </si>
  <si>
    <t>Discount für Jahreabo</t>
  </si>
  <si>
    <t>% Anteil User mit Jahresabo</t>
  </si>
  <si>
    <t>#users Monats abo - neu</t>
  </si>
  <si>
    <t>#users Monat abo - gesamt</t>
  </si>
  <si>
    <t>Umsatz monats abo</t>
  </si>
  <si>
    <t># users Jahres abo - neu</t>
  </si>
  <si>
    <t># users Jahres abo - gesamt</t>
  </si>
  <si>
    <t>Revenue yearly subscribers</t>
  </si>
  <si>
    <t>ohne churn</t>
  </si>
  <si>
    <t>PRÜFWERT #total users calculated</t>
  </si>
  <si>
    <t>Zahlungsfluss Monats Abo</t>
  </si>
  <si>
    <t>Zahlungsfluss Jahres Abo</t>
  </si>
  <si>
    <t>COST</t>
  </si>
  <si>
    <t>Umsatz - Premium Users</t>
  </si>
  <si>
    <t>Umsatz Premium User</t>
  </si>
  <si>
    <t>#users premium</t>
  </si>
  <si>
    <t>Share of paid users with premium</t>
  </si>
  <si>
    <t>Consulting Revenue</t>
  </si>
  <si>
    <t>Day Rate</t>
  </si>
  <si>
    <t># Paid days / month</t>
  </si>
  <si>
    <t>Monat #</t>
  </si>
  <si>
    <t>Total - Product Qualified Lead (Neu)</t>
  </si>
  <si>
    <t>Total - Product Qualified Lead (Kumuliert)</t>
  </si>
  <si>
    <t>Personal</t>
  </si>
  <si>
    <t>Persönlicher Kontakt und Events</t>
  </si>
  <si>
    <t>Neu</t>
  </si>
  <si>
    <t>Kummuliert</t>
  </si>
  <si>
    <t>Social Media</t>
  </si>
  <si>
    <t>LinkedIn (3500 Kontakte)</t>
  </si>
  <si>
    <t>Content (Inbound)</t>
  </si>
  <si>
    <t>Groups (Inbound)</t>
  </si>
  <si>
    <t>DM (Outbound)</t>
  </si>
  <si>
    <t>WOM Rate (pro Nutzer/Monat)</t>
  </si>
  <si>
    <t>WOM – Neue Nutzer</t>
  </si>
  <si>
    <t>WOM – Kumuliert</t>
  </si>
  <si>
    <t>Product Hunt</t>
  </si>
  <si>
    <t>SAAS Service Directories</t>
  </si>
  <si>
    <t>Communities / Foren (Reddit, FB, Indiehackers, etc.)</t>
  </si>
  <si>
    <t>Twitter build in public</t>
  </si>
  <si>
    <t>Content / SEO</t>
  </si>
  <si>
    <t>Articles published (monthly)</t>
  </si>
  <si>
    <t>Articles live</t>
  </si>
  <si>
    <t>Monat nach Veröffentlichung</t>
  </si>
  <si>
    <t>Gilt für jeden Artikel ab Zeitpunkt der Veröffentlichung</t>
  </si>
  <si>
    <t>Wirksamkeit</t>
  </si>
  <si>
    <t>Effektiv wirksame Artikel</t>
  </si>
  <si>
    <t>Besucher pro Artikel pro Monat</t>
  </si>
  <si>
    <t>Besucher gesamt</t>
  </si>
  <si>
    <t>Besucher Conversion</t>
  </si>
  <si>
    <t>Bezahlte Kanäle</t>
  </si>
  <si>
    <t>Direct Email Marketing (in the US)</t>
  </si>
  <si>
    <t>Newsletter Ads (Low Prio)</t>
  </si>
  <si>
    <t>Bezahlwerbung (Low Prio)</t>
  </si>
  <si>
    <t>Affiliate marketing (Low Prio)</t>
  </si>
  <si>
    <t>Gesamtkosten</t>
  </si>
  <si>
    <t>Direkte Kosten</t>
  </si>
  <si>
    <t>pro Nutzer</t>
  </si>
  <si>
    <t>Kosten von Free Accounts, fixe Kosten pro Account</t>
  </si>
  <si>
    <t>Kosten von Paid Accounts als Prozent vom Verkaufspreis</t>
  </si>
  <si>
    <t>Kosten von Premium Accounts als Prozent vom Verkaufspreis</t>
  </si>
  <si>
    <t>Verkaufs- &amp; Steuerabwicklungsgebühren (Merchant of Record)</t>
  </si>
  <si>
    <t>Produktentwicklung</t>
  </si>
  <si>
    <t>Coding Agent: Claude Code</t>
  </si>
  <si>
    <t>Coding IDE: Cursor</t>
  </si>
  <si>
    <t>KI Protoyping: Lovable</t>
  </si>
  <si>
    <t>Rechenleistung für KI Training und Datenbankaufbau</t>
  </si>
  <si>
    <t>IT Infrastruktur</t>
  </si>
  <si>
    <t>Email &amp; Office (Google Workspace)</t>
  </si>
  <si>
    <t>Internet / Telefon anteilig, betrieblich</t>
  </si>
  <si>
    <t>Hosting (Hetzner, AWS)</t>
  </si>
  <si>
    <t>Sentry (Application Monitoring)</t>
  </si>
  <si>
    <t>Quellcode Verwaltung Github</t>
  </si>
  <si>
    <t>Email sending</t>
  </si>
  <si>
    <t>´</t>
  </si>
  <si>
    <t>Administrative Kosten</t>
  </si>
  <si>
    <t>Kontoführung</t>
  </si>
  <si>
    <t>Steuerberater</t>
  </si>
  <si>
    <t>Datenschutzberatung</t>
  </si>
  <si>
    <t>Buchhaltung Lexoffice</t>
  </si>
  <si>
    <t>IHK Beitrag (Befreiung erste 2 Jahre)</t>
  </si>
  <si>
    <t>Berufshaftpflichtversicherung (exali.de)</t>
  </si>
  <si>
    <t>Rechtsberatung</t>
  </si>
  <si>
    <t>Reisen und Events</t>
  </si>
  <si>
    <t>Gründungskosten</t>
  </si>
  <si>
    <t>Markenschutz Deutschland</t>
  </si>
  <si>
    <t>Markenschutz EU / US</t>
  </si>
  <si>
    <t>Datenschutzberatung für Gründung</t>
  </si>
  <si>
    <t>Rechtsberatung für Gründung</t>
  </si>
  <si>
    <t>Gewerbeanmeldung</t>
  </si>
  <si>
    <t>Marketing Kosten</t>
  </si>
  <si>
    <t>Marketing AI Tool for communication</t>
  </si>
  <si>
    <t>Website Design/Hosting Tool</t>
  </si>
  <si>
    <t>Marketing Tool for LinkedIn</t>
  </si>
  <si>
    <t>Email Marketing Tool (Instantly.ai)</t>
  </si>
  <si>
    <t>SEO Tool</t>
  </si>
  <si>
    <t>Personalkosten</t>
  </si>
  <si>
    <t>bisher keine Mitarbeiter geplant</t>
  </si>
  <si>
    <t>Investitionen</t>
  </si>
  <si>
    <t>Betrag (netto)</t>
  </si>
  <si>
    <t>Kategorie</t>
  </si>
  <si>
    <t>Bezeichnung</t>
  </si>
  <si>
    <t>Herkunft</t>
  </si>
  <si>
    <t>Hardware</t>
  </si>
  <si>
    <t>Laptop, Apple MacBook Pro 14.2  (Zeitwert)</t>
  </si>
  <si>
    <t>Sacheinlage</t>
  </si>
  <si>
    <t>Liquide Mittel am Monatsanfang</t>
  </si>
  <si>
    <t>Einzahlungen Brutto</t>
  </si>
  <si>
    <t>Einnahmen monatlich Abos (netto)</t>
  </si>
  <si>
    <t>Cashflow</t>
  </si>
  <si>
    <t>Einnahmen jährliche Abos (netto)</t>
  </si>
  <si>
    <t>Verfügbare Liquidität im Monat</t>
  </si>
  <si>
    <t>Sonstige Auszahlungen</t>
  </si>
  <si>
    <t>Unerwartete Positionen</t>
  </si>
  <si>
    <t>Liquidität vor Entnahme</t>
  </si>
  <si>
    <t>Linear ansteigend über x Monate</t>
  </si>
  <si>
    <t>Prüf:</t>
  </si>
  <si>
    <t>Private Entnahme Unternehmer</t>
  </si>
  <si>
    <t>Liquidität nach Entnahme</t>
  </si>
  <si>
    <t>Nebenrechnung (zu ignorieren)</t>
  </si>
  <si>
    <t>Check</t>
  </si>
  <si>
    <t>Faktor für ansteigende Raten über Monate</t>
  </si>
  <si>
    <t>Betrag X</t>
  </si>
  <si>
    <t xml:space="preserve"> </t>
  </si>
  <si>
    <t>Umsatz</t>
  </si>
  <si>
    <t>Deckungsbeitrag</t>
  </si>
  <si>
    <t>Fixkosten (laufende betriebliche Kosten)</t>
  </si>
  <si>
    <t>Betriebsergebnis vor Steuern</t>
  </si>
  <si>
    <t>Unternehmerlohn als Entnahme</t>
  </si>
  <si>
    <t>Monatsergebnis</t>
  </si>
  <si>
    <t>Operative Margin</t>
  </si>
  <si>
    <t>Eigenkapital (Summe)</t>
  </si>
  <si>
    <t>Bareinlagen</t>
  </si>
  <si>
    <t>Sacheinlagen</t>
  </si>
  <si>
    <t>Sonstiges Eigenkapital</t>
  </si>
  <si>
    <t>Fremdkapital (Summe)</t>
  </si>
  <si>
    <t>Förderdarlehen</t>
  </si>
  <si>
    <t>Hausbankdarlehen</t>
  </si>
  <si>
    <t>Kontokorrentdarlehen</t>
  </si>
  <si>
    <t>Private Darlehen</t>
  </si>
  <si>
    <t>Sonstiges Fremdkapital</t>
  </si>
  <si>
    <t>Gesamtkapital (Eigenkapital + Fremdkapital)</t>
  </si>
  <si>
    <t>Bedarf (Summe)</t>
  </si>
  <si>
    <t>Anlaufverluste bis Break-Even (excl. Gründungskosten)</t>
  </si>
  <si>
    <t>Zusätzliche Liquiditätsreserve</t>
  </si>
  <si>
    <t>Summe</t>
  </si>
  <si>
    <t>Private Einnahmen außerhalb der Selbständigkeit (monatlich)</t>
  </si>
  <si>
    <t>Nettogehalt Ehe- bzw. Lebenspartner/in</t>
  </si>
  <si>
    <t>Anderer Nettolohn/-gehaltseinnahmen</t>
  </si>
  <si>
    <t>Einkommen aus Kapitalerträgen</t>
  </si>
  <si>
    <t>Einnahmen aus Vermietung und Verpachtung</t>
  </si>
  <si>
    <t>Kindergeld</t>
  </si>
  <si>
    <t>Erziehungsgeld</t>
  </si>
  <si>
    <t>Unterhalt</t>
  </si>
  <si>
    <t>Sonstige Einnahmen außerhalb der Selbständigkeit</t>
  </si>
  <si>
    <t>Privater Finanzbedarf (monatlich, typischer Monat)</t>
  </si>
  <si>
    <t>Private Wohnkosten (inkl. Nebenkosten und Strom)</t>
  </si>
  <si>
    <t>Telefon/Fernsehen/Radio/Internet (anteilig privat)</t>
  </si>
  <si>
    <t>Kita Gebühren</t>
  </si>
  <si>
    <t>Private Kfz-Kosten</t>
  </si>
  <si>
    <t>Beiträge (Vereine etc.)</t>
  </si>
  <si>
    <t>Kranken- und Pflegeversicherung</t>
  </si>
  <si>
    <t>Rentenversicherung/Altersvorsorge</t>
  </si>
  <si>
    <t xml:space="preserve">Sonstige Versicherungen </t>
  </si>
  <si>
    <t>Haushaltsnahe Dienstleistungen</t>
  </si>
  <si>
    <t>Kosten des täglichen Bedarfs (Essen, Trinken, Kleidung etc.)</t>
  </si>
  <si>
    <t>Anschaffungen Haus</t>
  </si>
  <si>
    <t>Urlaub</t>
  </si>
  <si>
    <t>Wohnhaus: Tilgung und Zinsen</t>
  </si>
  <si>
    <t>Arbeitslosenversicherung</t>
  </si>
  <si>
    <t>Unterhaltszahlungen an andere</t>
  </si>
  <si>
    <t>Entnahmeplanung</t>
  </si>
  <si>
    <t>Benötigtes Netto Einkommen für Lebensunterhalt (monatlich) (Ausgaben - Einnahmen)</t>
  </si>
  <si>
    <t>Benötigtes Netto Einkommen für Lebensunterhalt (jährlich) (Ausgaben - Einnahmen)</t>
  </si>
  <si>
    <t>Annahme Gründungszuschuss</t>
  </si>
  <si>
    <t>Private Rücklagen für Gründung</t>
  </si>
  <si>
    <t>Finanzielle MIttel aus Grüngungszuschuss und privaten Rücklagen (jährlich)</t>
  </si>
  <si>
    <t>Eingesetzte Mittel pro Jahr</t>
  </si>
  <si>
    <t>Verbleibende Private Rücklagen für Selbständigkeit am Jahresende</t>
  </si>
  <si>
    <t>Verbleibender privater Einkommensbedarf nach privaten Mitteln (jährlich)</t>
  </si>
  <si>
    <t>Verbleibender privater Einkommensbedarf nach privaten Mitteln (monatlich)</t>
  </si>
  <si>
    <t>Einkommensteuer (monatlich, Annahme 30% Steuern)</t>
  </si>
  <si>
    <t>Soli (monatlich)</t>
  </si>
  <si>
    <t>Kirchensteuer 8%  (monatlich)</t>
  </si>
  <si>
    <t>Resultierendes benötiogtes Jahresbrutto</t>
  </si>
  <si>
    <t>Benötigte Privatentnahme aus der Unternehmung (monatlich, falls über 12 Monate verteilt)</t>
  </si>
  <si>
    <t>Annahme: selbständig, einzeln veranlage, keine Kinder, GKV</t>
  </si>
  <si>
    <t>Steuer</t>
  </si>
  <si>
    <t>Vorsorgeaufwändungen</t>
  </si>
  <si>
    <t>Monatlicher Gewinn</t>
  </si>
  <si>
    <t>Jahres Brutto Einkommen</t>
  </si>
  <si>
    <t>zu versteuerndes Einkommen</t>
  </si>
  <si>
    <t>Durchschnittlicher Steuersatz</t>
  </si>
  <si>
    <t>Einkommensteuer, monatlich</t>
  </si>
  <si>
    <t>Einkommensteuer, jährlich (splitting Tabelle)</t>
  </si>
  <si>
    <t>Kirchensteuer, monatlich</t>
  </si>
  <si>
    <t>Soli, monatlich</t>
  </si>
  <si>
    <t>Netto Einkommen vor sozialabgaben, monatlich</t>
  </si>
  <si>
    <t>Altersvorsorge, monatlich</t>
  </si>
  <si>
    <t>GKV Krankenkassenbeitrag, monatlich</t>
  </si>
  <si>
    <t>Einkommen nach Vorsorge, monatlich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</si>
</sst>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&quot; &quot;yy"/>
    <numFmt numFmtId="165" formatCode="_-* #,##0.00\ [$€-1]_-;\-* #,##0.00\ [$€-1]_-;_-* &quot;-&quot;??\ [$€-1]_-;_-@"/>
    <numFmt numFmtId="166" formatCode="_-* #,##0\ [$€-1]_-;\-* #,##0\ [$€-1]_-;_-* &quot;-&quot;??\ [$€-1]_-;_-@"/>
    <numFmt numFmtId="167" formatCode="_-* #,##0.00\ [$€-1]_-;\-* #,##0.00\ [$€-1]_-;_-* &quot;-&quot;??.00\ [$€-1]_-;_-@"/>
    <numFmt numFmtId="168" formatCode="#,##0\ [$€-1]"/>
    <numFmt numFmtId="169" formatCode="#,##0&quot;€&quot;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0000FF"/>
      <name val="Calibri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1F4E79"/>
        <bgColor rgb="FF1F4E79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3" fontId="2" numFmtId="0" xfId="0" applyFill="1" applyFont="1"/>
    <xf borderId="0" fillId="0" fontId="2" numFmtId="165" xfId="0" applyFont="1" applyNumberFormat="1"/>
    <xf borderId="0" fillId="3" fontId="2" numFmtId="165" xfId="0" applyFont="1" applyNumberFormat="1"/>
    <xf borderId="0" fillId="3" fontId="2" numFmtId="164" xfId="0" applyFont="1" applyNumberFormat="1"/>
    <xf borderId="0" fillId="4" fontId="1" numFmtId="0" xfId="0" applyAlignment="1" applyFill="1" applyFont="1">
      <alignment readingOrder="0"/>
    </xf>
    <xf borderId="0" fillId="4" fontId="1" numFmtId="0" xfId="0" applyFont="1"/>
    <xf borderId="0" fillId="3" fontId="1" numFmtId="166" xfId="0" applyFont="1" applyNumberFormat="1"/>
    <xf borderId="0" fillId="4" fontId="1" numFmtId="166" xfId="0" applyFont="1" applyNumberFormat="1"/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6" xfId="0" applyFont="1" applyNumberFormat="1"/>
    <xf borderId="0" fillId="3" fontId="1" numFmtId="0" xfId="0" applyFont="1"/>
    <xf borderId="0" fillId="0" fontId="2" numFmtId="0" xfId="0" applyFont="1"/>
    <xf borderId="0" fillId="3" fontId="2" numFmtId="166" xfId="0" applyFont="1" applyNumberFormat="1"/>
    <xf borderId="0" fillId="3" fontId="2" numFmtId="0" xfId="0" applyAlignment="1" applyFont="1">
      <alignment readingOrder="0"/>
    </xf>
    <xf borderId="0" fillId="0" fontId="2" numFmtId="9" xfId="0" applyFont="1" applyNumberFormat="1"/>
    <xf borderId="0" fillId="3" fontId="2" numFmtId="9" xfId="0" applyFont="1" applyNumberFormat="1"/>
    <xf borderId="0" fillId="4" fontId="2" numFmtId="0" xfId="0" applyFont="1"/>
    <xf borderId="0" fillId="4" fontId="2" numFmtId="0" xfId="0" applyAlignment="1" applyFont="1">
      <alignment readingOrder="0"/>
    </xf>
    <xf borderId="0" fillId="4" fontId="2" numFmtId="166" xfId="0" applyFont="1" applyNumberFormat="1"/>
    <xf borderId="0" fillId="4" fontId="3" numFmtId="0" xfId="0" applyAlignment="1" applyFont="1">
      <alignment readingOrder="0"/>
    </xf>
    <xf borderId="0" fillId="3" fontId="1" numFmtId="0" xfId="0" applyAlignment="1" applyFont="1">
      <alignment readingOrder="0"/>
    </xf>
    <xf borderId="0" fillId="4" fontId="3" numFmtId="0" xfId="0" applyFont="1"/>
    <xf borderId="0" fillId="4" fontId="3" numFmtId="166" xfId="0" applyFont="1" applyNumberFormat="1"/>
    <xf borderId="0" fillId="3" fontId="3" numFmtId="0" xfId="0" applyFont="1"/>
    <xf borderId="0" fillId="0" fontId="3" numFmtId="0" xfId="0" applyFont="1"/>
    <xf borderId="0" fillId="0" fontId="2" numFmtId="167" xfId="0" applyFont="1" applyNumberFormat="1"/>
    <xf borderId="0" fillId="0" fontId="2" numFmtId="10" xfId="0" applyFont="1" applyNumberFormat="1"/>
    <xf borderId="0" fillId="3" fontId="2" numFmtId="10" xfId="0" applyFont="1" applyNumberFormat="1"/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4" fontId="2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5" fontId="2" numFmtId="9" xfId="0" applyAlignment="1" applyFont="1" applyNumberFormat="1">
      <alignment readingOrder="0"/>
    </xf>
    <xf borderId="0" fillId="5" fontId="2" numFmtId="165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7" fontId="2" numFmtId="0" xfId="0" applyFont="1"/>
    <xf borderId="0" fillId="0" fontId="2" numFmtId="166" xfId="0" applyAlignment="1" applyFont="1" applyNumberFormat="1">
      <alignment readingOrder="0"/>
    </xf>
    <xf borderId="0" fillId="8" fontId="2" numFmtId="0" xfId="0" applyAlignment="1" applyFill="1" applyFont="1">
      <alignment readingOrder="0"/>
    </xf>
    <xf borderId="0" fillId="8" fontId="2" numFmtId="0" xfId="0" applyFont="1"/>
    <xf borderId="0" fillId="8" fontId="2" numFmtId="166" xfId="0" applyFont="1" applyNumberFormat="1"/>
    <xf borderId="0" fillId="0" fontId="4" numFmtId="164" xfId="0" applyAlignment="1" applyFont="1" applyNumberFormat="1">
      <alignment horizontal="right" vertical="bottom"/>
    </xf>
    <xf borderId="0" fillId="9" fontId="5" numFmtId="0" xfId="0" applyAlignment="1" applyFill="1" applyFont="1">
      <alignment horizontal="center" readingOrder="0"/>
    </xf>
    <xf borderId="0" fillId="0" fontId="6" numFmtId="0" xfId="0" applyAlignment="1" applyFont="1">
      <alignment horizontal="right" readingOrder="0"/>
    </xf>
    <xf borderId="0" fillId="4" fontId="7" numFmtId="0" xfId="0" applyAlignment="1" applyFont="1">
      <alignment horizontal="right" readingOrder="0"/>
    </xf>
    <xf borderId="0" fillId="5" fontId="6" numFmtId="0" xfId="0" applyAlignment="1" applyFont="1">
      <alignment horizontal="right" readingOrder="0"/>
    </xf>
    <xf borderId="0" fillId="0" fontId="6" numFmtId="9" xfId="0" applyAlignment="1" applyFont="1" applyNumberFormat="1">
      <alignment horizontal="right" readingOrder="0"/>
    </xf>
    <xf borderId="0" fillId="0" fontId="8" numFmtId="0" xfId="0" applyAlignment="1" applyFont="1">
      <alignment horizontal="right"/>
    </xf>
    <xf borderId="0" fillId="4" fontId="9" numFmtId="0" xfId="0" applyAlignment="1" applyFont="1">
      <alignment readingOrder="0"/>
    </xf>
    <xf borderId="0" fillId="4" fontId="1" numFmtId="166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5" fontId="2" numFmtId="166" xfId="0" applyAlignment="1" applyFont="1" applyNumberFormat="1">
      <alignment readingOrder="0"/>
    </xf>
    <xf borderId="0" fillId="5" fontId="2" numFmtId="166" xfId="0" applyFont="1" applyNumberFormat="1"/>
    <xf borderId="0" fillId="4" fontId="1" numFmtId="165" xfId="0" applyAlignment="1" applyFont="1" applyNumberFormat="1">
      <alignment readingOrder="0"/>
    </xf>
    <xf borderId="0" fillId="4" fontId="1" numFmtId="165" xfId="0" applyFont="1" applyNumberFormat="1"/>
    <xf borderId="0" fillId="0" fontId="2" numFmtId="0" xfId="0" applyAlignment="1" applyFont="1">
      <alignment readingOrder="0" shrinkToFit="0" wrapText="1"/>
    </xf>
    <xf borderId="0" fillId="8" fontId="2" numFmtId="166" xfId="0" applyAlignment="1" applyFont="1" applyNumberFormat="1">
      <alignment readingOrder="0"/>
    </xf>
    <xf borderId="0" fillId="10" fontId="2" numFmtId="0" xfId="0" applyAlignment="1" applyFill="1" applyFont="1">
      <alignment readingOrder="0"/>
    </xf>
    <xf borderId="0" fillId="10" fontId="2" numFmtId="0" xfId="0" applyFont="1"/>
    <xf borderId="0" fillId="10" fontId="2" numFmtId="166" xfId="0" applyFont="1" applyNumberFormat="1"/>
    <xf borderId="0" fillId="10" fontId="2" numFmtId="3" xfId="0" applyAlignment="1" applyFont="1" applyNumberFormat="1">
      <alignment readingOrder="0"/>
    </xf>
    <xf borderId="0" fillId="10" fontId="2" numFmtId="166" xfId="0" applyAlignment="1" applyFont="1" applyNumberFormat="1">
      <alignment readingOrder="0"/>
    </xf>
    <xf borderId="0" fillId="10" fontId="2" numFmtId="4" xfId="0" applyFont="1" applyNumberFormat="1"/>
    <xf borderId="0" fillId="10" fontId="2" numFmtId="4" xfId="0" applyAlignment="1" applyFont="1" applyNumberFormat="1">
      <alignment readingOrder="0"/>
    </xf>
    <xf borderId="0" fillId="10" fontId="2" numFmtId="3" xfId="0" applyFont="1" applyNumberFormat="1"/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4" fontId="1" numFmtId="168" xfId="0" applyFont="1" applyNumberFormat="1"/>
    <xf borderId="0" fillId="0" fontId="2" numFmtId="168" xfId="0" applyFont="1" applyNumberFormat="1"/>
    <xf borderId="0" fillId="0" fontId="2" numFmtId="168" xfId="0" applyAlignment="1" applyFont="1" applyNumberFormat="1">
      <alignment readingOrder="0"/>
    </xf>
    <xf borderId="0" fillId="5" fontId="2" numFmtId="168" xfId="0" applyAlignment="1" applyFont="1" applyNumberFormat="1">
      <alignment readingOrder="0"/>
    </xf>
    <xf borderId="0" fillId="11" fontId="2" numFmtId="0" xfId="0" applyAlignment="1" applyFill="1" applyFont="1">
      <alignment readingOrder="0"/>
    </xf>
    <xf borderId="0" fillId="11" fontId="2" numFmtId="166" xfId="0" applyAlignment="1" applyFont="1" applyNumberFormat="1">
      <alignment readingOrder="0"/>
    </xf>
    <xf borderId="0" fillId="11" fontId="2" numFmtId="168" xfId="0" applyAlignment="1" applyFont="1" applyNumberFormat="1">
      <alignment readingOrder="0"/>
    </xf>
    <xf borderId="0" fillId="0" fontId="2" numFmtId="4" xfId="0" applyFont="1" applyNumberFormat="1"/>
    <xf borderId="0" fillId="0" fontId="2" numFmtId="169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4" fontId="2" numFmtId="0" xfId="0" applyAlignment="1" applyFont="1">
      <alignment horizontal="left" readingOrder="0" shrinkToFit="0" vertical="top" wrapText="1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18</xdr:row>
      <xdr:rowOff>9525</xdr:rowOff>
    </xdr:from>
    <xdr:ext cx="3676650" cy="1162050"/>
    <xdr:pic>
      <xdr:nvPicPr>
        <xdr:cNvPr id="0" name="image1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 outlineLevelCol="1"/>
  <cols>
    <col customWidth="1" min="1" max="1" width="8.88"/>
    <col customWidth="1" min="2" max="2" width="8.13"/>
    <col customWidth="1" min="3" max="3" width="31.5"/>
    <col customWidth="1" min="4" max="4" width="8.5"/>
    <col customWidth="1" min="5" max="5" width="10.88" outlineLevel="1"/>
    <col customWidth="1" min="6" max="14" width="8.38" outlineLevel="1"/>
    <col customWidth="1" min="15" max="15" width="6.5"/>
    <col customWidth="1" min="16" max="16" width="8.5"/>
    <col customWidth="1" min="17" max="18" width="8.38" outlineLevel="1"/>
    <col customWidth="1" min="19" max="22" width="7.63" outlineLevel="1"/>
    <col customWidth="1" min="23" max="28" width="8.5" outlineLevel="1"/>
    <col customWidth="1" min="29" max="29" width="6.5"/>
    <col customWidth="1" min="30" max="30" width="9.5"/>
    <col customWidth="1" min="31" max="38" width="8.5" outlineLevel="1"/>
    <col customWidth="1" min="39" max="39" width="9.38" outlineLevel="1"/>
    <col customWidth="1" min="40" max="40" width="9.25" outlineLevel="1"/>
    <col customWidth="1" min="41" max="42" width="9.38" outlineLevel="1"/>
  </cols>
  <sheetData>
    <row r="1">
      <c r="A1" s="1" t="s">
        <v>0</v>
      </c>
      <c r="B1" s="2"/>
      <c r="C1" s="2"/>
      <c r="D1" s="3">
        <v>2026.0</v>
      </c>
      <c r="E1" s="2"/>
      <c r="F1" s="4"/>
      <c r="G1" s="4"/>
      <c r="H1" s="4"/>
      <c r="I1" s="4"/>
      <c r="J1" s="4"/>
      <c r="K1" s="4"/>
      <c r="L1" s="4"/>
      <c r="M1" s="4"/>
      <c r="N1" s="4"/>
      <c r="O1" s="5"/>
      <c r="P1" s="3">
        <v>2027.0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5"/>
      <c r="AD1" s="3">
        <v>2028.0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>
      <c r="A2" s="1" t="s">
        <v>1</v>
      </c>
      <c r="B2" s="2"/>
      <c r="C2" s="2"/>
      <c r="D2" s="6"/>
      <c r="E2" s="2">
        <v>46112.0</v>
      </c>
      <c r="F2" s="4">
        <f t="shared" ref="F2:N2" si="1">EOMONTH(E2,1)</f>
        <v>46142</v>
      </c>
      <c r="G2" s="4">
        <f t="shared" si="1"/>
        <v>46173</v>
      </c>
      <c r="H2" s="4">
        <f t="shared" si="1"/>
        <v>46203</v>
      </c>
      <c r="I2" s="4">
        <f t="shared" si="1"/>
        <v>46234</v>
      </c>
      <c r="J2" s="4">
        <f t="shared" si="1"/>
        <v>46265</v>
      </c>
      <c r="K2" s="4">
        <f t="shared" si="1"/>
        <v>46295</v>
      </c>
      <c r="L2" s="4">
        <f t="shared" si="1"/>
        <v>46326</v>
      </c>
      <c r="M2" s="4">
        <f t="shared" si="1"/>
        <v>46356</v>
      </c>
      <c r="N2" s="4">
        <f t="shared" si="1"/>
        <v>46387</v>
      </c>
      <c r="O2" s="7"/>
      <c r="P2" s="8"/>
      <c r="Q2" s="4">
        <f>EOMONTH(N2,1)</f>
        <v>46418</v>
      </c>
      <c r="R2" s="4">
        <f t="shared" ref="R2:AB2" si="2">EOMONTH(Q2,1)</f>
        <v>46446</v>
      </c>
      <c r="S2" s="4">
        <f t="shared" si="2"/>
        <v>46477</v>
      </c>
      <c r="T2" s="4">
        <f t="shared" si="2"/>
        <v>46507</v>
      </c>
      <c r="U2" s="4">
        <f t="shared" si="2"/>
        <v>46538</v>
      </c>
      <c r="V2" s="4">
        <f t="shared" si="2"/>
        <v>46568</v>
      </c>
      <c r="W2" s="4">
        <f t="shared" si="2"/>
        <v>46599</v>
      </c>
      <c r="X2" s="4">
        <f t="shared" si="2"/>
        <v>46630</v>
      </c>
      <c r="Y2" s="4">
        <f t="shared" si="2"/>
        <v>46660</v>
      </c>
      <c r="Z2" s="4">
        <f t="shared" si="2"/>
        <v>46691</v>
      </c>
      <c r="AA2" s="4">
        <f t="shared" si="2"/>
        <v>46721</v>
      </c>
      <c r="AB2" s="4">
        <f t="shared" si="2"/>
        <v>46752</v>
      </c>
      <c r="AC2" s="7"/>
      <c r="AD2" s="9"/>
      <c r="AE2" s="4">
        <f>EOMONTH(AB2,1)</f>
        <v>46783</v>
      </c>
      <c r="AF2" s="4">
        <f t="shared" ref="AF2:AP2" si="3">EOMONTH(AE2,1)</f>
        <v>46812</v>
      </c>
      <c r="AG2" s="4">
        <f t="shared" si="3"/>
        <v>46843</v>
      </c>
      <c r="AH2" s="4">
        <f t="shared" si="3"/>
        <v>46873</v>
      </c>
      <c r="AI2" s="4">
        <f t="shared" si="3"/>
        <v>46904</v>
      </c>
      <c r="AJ2" s="4">
        <f t="shared" si="3"/>
        <v>46934</v>
      </c>
      <c r="AK2" s="4">
        <f t="shared" si="3"/>
        <v>46965</v>
      </c>
      <c r="AL2" s="4">
        <f t="shared" si="3"/>
        <v>46996</v>
      </c>
      <c r="AM2" s="4">
        <f t="shared" si="3"/>
        <v>47026</v>
      </c>
      <c r="AN2" s="4">
        <f t="shared" si="3"/>
        <v>47057</v>
      </c>
      <c r="AO2" s="4">
        <f t="shared" si="3"/>
        <v>47087</v>
      </c>
      <c r="AP2" s="4">
        <f t="shared" si="3"/>
        <v>47118</v>
      </c>
    </row>
    <row r="3">
      <c r="D3" s="6"/>
      <c r="P3" s="6"/>
      <c r="AD3" s="6"/>
    </row>
    <row r="4">
      <c r="A4" s="10" t="s">
        <v>2</v>
      </c>
      <c r="B4" s="11"/>
      <c r="C4" s="11"/>
      <c r="D4" s="12">
        <f t="shared" ref="D4:D5" si="4">SUM(E4:N4)</f>
        <v>7793</v>
      </c>
      <c r="E4" s="13">
        <f>Umsatz!D3</f>
        <v>15</v>
      </c>
      <c r="F4" s="13">
        <f>Umsatz!E3</f>
        <v>30</v>
      </c>
      <c r="G4" s="13">
        <f>Umsatz!F3</f>
        <v>45</v>
      </c>
      <c r="H4" s="13">
        <f>Umsatz!G3</f>
        <v>75</v>
      </c>
      <c r="I4" s="13">
        <f>Umsatz!H3</f>
        <v>335</v>
      </c>
      <c r="J4" s="13">
        <f>Umsatz!I3</f>
        <v>523.5</v>
      </c>
      <c r="K4" s="13">
        <f>Umsatz!J3</f>
        <v>902</v>
      </c>
      <c r="L4" s="13">
        <f>Umsatz!K3</f>
        <v>1380.5</v>
      </c>
      <c r="M4" s="13">
        <f>Umsatz!L3</f>
        <v>1902.5</v>
      </c>
      <c r="N4" s="13">
        <f>Umsatz!M3</f>
        <v>2584.5</v>
      </c>
      <c r="O4" s="14"/>
      <c r="P4" s="12">
        <f t="shared" ref="P4:P5" si="5">SUM(Q4:AB4)</f>
        <v>115174.5</v>
      </c>
      <c r="Q4" s="13">
        <f>Umsatz!N3</f>
        <v>3295</v>
      </c>
      <c r="R4" s="13">
        <f>Umsatz!O3</f>
        <v>4150.5</v>
      </c>
      <c r="S4" s="13">
        <f>Umsatz!P3</f>
        <v>5049.5</v>
      </c>
      <c r="T4" s="13">
        <f>Umsatz!Q3</f>
        <v>6093.5</v>
      </c>
      <c r="U4" s="13">
        <f>Umsatz!R3</f>
        <v>7281</v>
      </c>
      <c r="V4" s="13">
        <f>Umsatz!S3</f>
        <v>8498.5</v>
      </c>
      <c r="W4" s="13">
        <f>Umsatz!T3</f>
        <v>9729.5</v>
      </c>
      <c r="X4" s="13">
        <f>Umsatz!U3</f>
        <v>11105.5</v>
      </c>
      <c r="Y4" s="13">
        <f>Umsatz!V3</f>
        <v>12525</v>
      </c>
      <c r="Z4" s="13">
        <f>Umsatz!W3</f>
        <v>14088</v>
      </c>
      <c r="AA4" s="13">
        <f>Umsatz!X3</f>
        <v>15796</v>
      </c>
      <c r="AB4" s="13">
        <f>Umsatz!Y3</f>
        <v>17562.5</v>
      </c>
      <c r="AC4" s="14"/>
      <c r="AD4" s="12">
        <f t="shared" ref="AD4:AD5" si="6">SUM(AE4:AP4)</f>
        <v>395781.5</v>
      </c>
      <c r="AE4" s="13">
        <f>Umsatz!Z3</f>
        <v>19472.5</v>
      </c>
      <c r="AF4" s="13">
        <f>Umsatz!AA3</f>
        <v>21526</v>
      </c>
      <c r="AG4" s="13">
        <f>Umsatz!AB3</f>
        <v>23623</v>
      </c>
      <c r="AH4" s="13">
        <f>Umsatz!AC3</f>
        <v>25893.5</v>
      </c>
      <c r="AI4" s="13">
        <f>Umsatz!AD3</f>
        <v>28307.5</v>
      </c>
      <c r="AJ4" s="13">
        <f>Umsatz!AE3</f>
        <v>30780</v>
      </c>
      <c r="AK4" s="13">
        <f>Umsatz!AF3</f>
        <v>33511</v>
      </c>
      <c r="AL4" s="13">
        <f>Umsatz!AG3</f>
        <v>36300.5</v>
      </c>
      <c r="AM4" s="13">
        <f>Umsatz!AH3</f>
        <v>39248.5</v>
      </c>
      <c r="AN4" s="13">
        <f>Umsatz!AI3</f>
        <v>42370</v>
      </c>
      <c r="AO4" s="13">
        <f>Umsatz!AJ3</f>
        <v>45648.5</v>
      </c>
      <c r="AP4" s="13">
        <f>Umsatz!AK3</f>
        <v>49100.5</v>
      </c>
    </row>
    <row r="5">
      <c r="B5" s="15" t="s">
        <v>3</v>
      </c>
      <c r="D5" s="12">
        <f t="shared" si="4"/>
        <v>0</v>
      </c>
      <c r="E5" s="16">
        <f>Umsatz!D43</f>
        <v>0</v>
      </c>
      <c r="F5" s="16">
        <f>Umsatz!E43</f>
        <v>0</v>
      </c>
      <c r="G5" s="16">
        <f>Umsatz!F43</f>
        <v>0</v>
      </c>
      <c r="H5" s="16">
        <f>Umsatz!G43</f>
        <v>0</v>
      </c>
      <c r="I5" s="16">
        <f>Umsatz!H43</f>
        <v>0</v>
      </c>
      <c r="J5" s="16">
        <f>Umsatz!I43</f>
        <v>0</v>
      </c>
      <c r="K5" s="16">
        <f>Umsatz!J43</f>
        <v>0</v>
      </c>
      <c r="L5" s="16">
        <f>Umsatz!K43</f>
        <v>0</v>
      </c>
      <c r="M5" s="16">
        <f>Umsatz!L43</f>
        <v>0</v>
      </c>
      <c r="N5" s="16">
        <f>Umsatz!M43</f>
        <v>0</v>
      </c>
      <c r="O5" s="14"/>
      <c r="P5" s="12">
        <f t="shared" si="5"/>
        <v>0</v>
      </c>
      <c r="Q5" s="16">
        <f>Umsatz!N43</f>
        <v>0</v>
      </c>
      <c r="R5" s="16">
        <f>Umsatz!O43</f>
        <v>0</v>
      </c>
      <c r="S5" s="16">
        <f>Umsatz!P43</f>
        <v>0</v>
      </c>
      <c r="T5" s="16">
        <f>Umsatz!Q43</f>
        <v>0</v>
      </c>
      <c r="U5" s="16">
        <f>Umsatz!R43</f>
        <v>0</v>
      </c>
      <c r="V5" s="16">
        <f>Umsatz!S43</f>
        <v>0</v>
      </c>
      <c r="W5" s="16">
        <f>Umsatz!T43</f>
        <v>0</v>
      </c>
      <c r="X5" s="16">
        <f>Umsatz!U43</f>
        <v>0</v>
      </c>
      <c r="Y5" s="16">
        <f>Umsatz!V43</f>
        <v>0</v>
      </c>
      <c r="Z5" s="16">
        <f>Umsatz!W43</f>
        <v>0</v>
      </c>
      <c r="AA5" s="16">
        <f>Umsatz!X43</f>
        <v>0</v>
      </c>
      <c r="AB5" s="16">
        <f>Umsatz!Y43</f>
        <v>0</v>
      </c>
      <c r="AC5" s="14"/>
      <c r="AD5" s="12">
        <f t="shared" si="6"/>
        <v>0</v>
      </c>
      <c r="AE5" s="16">
        <f>Umsatz!Z43</f>
        <v>0</v>
      </c>
      <c r="AF5" s="16">
        <f>Umsatz!AA43</f>
        <v>0</v>
      </c>
      <c r="AG5" s="16">
        <f>Umsatz!AB43</f>
        <v>0</v>
      </c>
      <c r="AH5" s="16">
        <f>Umsatz!AC43</f>
        <v>0</v>
      </c>
      <c r="AI5" s="16">
        <f>Umsatz!AD43</f>
        <v>0</v>
      </c>
      <c r="AJ5" s="16">
        <f>Umsatz!AE43</f>
        <v>0</v>
      </c>
      <c r="AK5" s="16">
        <f>Umsatz!AF43</f>
        <v>0</v>
      </c>
      <c r="AL5" s="16">
        <f>Umsatz!AG43</f>
        <v>0</v>
      </c>
      <c r="AM5" s="16">
        <f>Umsatz!AH43</f>
        <v>0</v>
      </c>
      <c r="AN5" s="16">
        <f>Umsatz!AI43</f>
        <v>0</v>
      </c>
      <c r="AO5" s="16">
        <f>Umsatz!AJ43</f>
        <v>0</v>
      </c>
      <c r="AP5" s="16">
        <f>Umsatz!AK43</f>
        <v>0</v>
      </c>
    </row>
    <row r="6">
      <c r="B6" s="15"/>
      <c r="D6" s="6"/>
      <c r="P6" s="6"/>
      <c r="AD6" s="6"/>
    </row>
    <row r="7">
      <c r="B7" s="15" t="s">
        <v>4</v>
      </c>
      <c r="D7" s="6"/>
      <c r="P7" s="6"/>
      <c r="AD7" s="6"/>
    </row>
    <row r="8">
      <c r="C8" s="15" t="s">
        <v>5</v>
      </c>
      <c r="D8" s="17">
        <f t="shared" ref="D8:D11" si="7">SUM(E8:N8)</f>
        <v>2280</v>
      </c>
      <c r="E8" s="18">
        <f>Umsatz!D9</f>
        <v>3</v>
      </c>
      <c r="F8" s="18">
        <f>Umsatz!E9</f>
        <v>6</v>
      </c>
      <c r="G8" s="18">
        <f>Umsatz!F9</f>
        <v>15</v>
      </c>
      <c r="H8" s="18">
        <f>Umsatz!G9</f>
        <v>35</v>
      </c>
      <c r="I8" s="18">
        <f>Umsatz!H9</f>
        <v>76</v>
      </c>
      <c r="J8" s="18">
        <f>Umsatz!I9</f>
        <v>140</v>
      </c>
      <c r="K8" s="18">
        <f>Umsatz!J9</f>
        <v>263</v>
      </c>
      <c r="L8" s="18">
        <f>Umsatz!K9</f>
        <v>395</v>
      </c>
      <c r="M8" s="18">
        <f>Umsatz!L9</f>
        <v>565</v>
      </c>
      <c r="N8" s="18">
        <f>Umsatz!M9</f>
        <v>782</v>
      </c>
      <c r="P8" s="6">
        <f t="shared" ref="P8:P11" si="8">SUM(Q8:AB8)</f>
        <v>44589</v>
      </c>
      <c r="Q8" s="18">
        <f>Umsatz!N9</f>
        <v>1037</v>
      </c>
      <c r="R8" s="18">
        <f>Umsatz!O9</f>
        <v>1343</v>
      </c>
      <c r="S8" s="18">
        <f>Umsatz!P9</f>
        <v>1700</v>
      </c>
      <c r="T8" s="18">
        <f>Umsatz!Q9</f>
        <v>2110</v>
      </c>
      <c r="U8" s="18">
        <f>Umsatz!R9</f>
        <v>2576</v>
      </c>
      <c r="V8" s="18">
        <f>Umsatz!S9</f>
        <v>3093</v>
      </c>
      <c r="W8" s="18">
        <f>Umsatz!T9</f>
        <v>3656</v>
      </c>
      <c r="X8" s="18">
        <f>Umsatz!U9</f>
        <v>4283</v>
      </c>
      <c r="Y8" s="18">
        <f>Umsatz!V9</f>
        <v>4977</v>
      </c>
      <c r="Z8" s="18">
        <f>Umsatz!W9</f>
        <v>5741</v>
      </c>
      <c r="AA8" s="18">
        <f>Umsatz!X9</f>
        <v>6579</v>
      </c>
      <c r="AB8" s="18">
        <f>Umsatz!Y9</f>
        <v>7494</v>
      </c>
      <c r="AD8" s="6">
        <f t="shared" ref="AD8:AD11" si="9">SUM(AE8:AP8)</f>
        <v>195386</v>
      </c>
      <c r="AE8" s="18">
        <f>Umsatz!Z9</f>
        <v>8490</v>
      </c>
      <c r="AF8" s="18">
        <f>Umsatz!AA9</f>
        <v>9572</v>
      </c>
      <c r="AG8" s="18">
        <f>Umsatz!AB9</f>
        <v>10743</v>
      </c>
      <c r="AH8" s="18">
        <f>Umsatz!AC9</f>
        <v>12008</v>
      </c>
      <c r="AI8" s="18">
        <f>Umsatz!AD9</f>
        <v>13372</v>
      </c>
      <c r="AJ8" s="18">
        <f>Umsatz!AE9</f>
        <v>14840</v>
      </c>
      <c r="AK8" s="18">
        <f>Umsatz!AF9</f>
        <v>16417</v>
      </c>
      <c r="AL8" s="18">
        <f>Umsatz!AG9</f>
        <v>18108</v>
      </c>
      <c r="AM8" s="18">
        <f>Umsatz!AH9</f>
        <v>19919</v>
      </c>
      <c r="AN8" s="18">
        <f>Umsatz!AI9</f>
        <v>21856</v>
      </c>
      <c r="AO8" s="18">
        <f>Umsatz!AJ9</f>
        <v>23926</v>
      </c>
      <c r="AP8" s="18">
        <f>Umsatz!AK9</f>
        <v>26135</v>
      </c>
    </row>
    <row r="9">
      <c r="C9" s="15" t="s">
        <v>6</v>
      </c>
      <c r="D9" s="17">
        <f t="shared" si="7"/>
        <v>272</v>
      </c>
      <c r="E9" s="18">
        <f>Umsatz!D16+Umsatz!D40</f>
        <v>1</v>
      </c>
      <c r="F9" s="18">
        <f>Umsatz!E16+Umsatz!E40</f>
        <v>2</v>
      </c>
      <c r="G9" s="18">
        <f>Umsatz!F16+Umsatz!F40</f>
        <v>3</v>
      </c>
      <c r="H9" s="18">
        <f>Umsatz!G16+Umsatz!G40</f>
        <v>5</v>
      </c>
      <c r="I9" s="18">
        <f>Umsatz!H16+Umsatz!H40</f>
        <v>11</v>
      </c>
      <c r="J9" s="18">
        <f>Umsatz!I16+Umsatz!I40</f>
        <v>18</v>
      </c>
      <c r="K9" s="18">
        <f>Umsatz!J16+Umsatz!J40</f>
        <v>32</v>
      </c>
      <c r="L9" s="18">
        <f>Umsatz!K16+Umsatz!K40</f>
        <v>47</v>
      </c>
      <c r="M9" s="18">
        <f>Umsatz!L16+Umsatz!L40</f>
        <v>65</v>
      </c>
      <c r="N9" s="18">
        <f>Umsatz!M16+Umsatz!M40</f>
        <v>88</v>
      </c>
      <c r="P9" s="6">
        <f t="shared" si="8"/>
        <v>3966</v>
      </c>
      <c r="Q9" s="18">
        <f>Umsatz!N16+Umsatz!N40</f>
        <v>113</v>
      </c>
      <c r="R9" s="18">
        <f>Umsatz!O16+Umsatz!O40</f>
        <v>142</v>
      </c>
      <c r="S9" s="18">
        <f>Umsatz!P16+Umsatz!P40</f>
        <v>174</v>
      </c>
      <c r="T9" s="18">
        <f>Umsatz!Q16+Umsatz!Q40</f>
        <v>210</v>
      </c>
      <c r="U9" s="18">
        <f>Umsatz!R16+Umsatz!R40</f>
        <v>250</v>
      </c>
      <c r="V9" s="18">
        <f>Umsatz!S16+Umsatz!S40</f>
        <v>292</v>
      </c>
      <c r="W9" s="18">
        <f>Umsatz!T16+Umsatz!T40</f>
        <v>335</v>
      </c>
      <c r="X9" s="18">
        <f>Umsatz!U16+Umsatz!U40</f>
        <v>382</v>
      </c>
      <c r="Y9" s="18">
        <f>Umsatz!V16+Umsatz!V40</f>
        <v>432</v>
      </c>
      <c r="Z9" s="18">
        <f>Umsatz!W16+Umsatz!W40</f>
        <v>486</v>
      </c>
      <c r="AA9" s="18">
        <f>Umsatz!X16+Umsatz!X40</f>
        <v>544</v>
      </c>
      <c r="AB9" s="18">
        <f>Umsatz!Y16+Umsatz!Y40</f>
        <v>606</v>
      </c>
      <c r="AD9" s="6">
        <f t="shared" si="9"/>
        <v>13668</v>
      </c>
      <c r="AE9" s="18">
        <f>Umsatz!Z16+Umsatz!Z40</f>
        <v>672</v>
      </c>
      <c r="AF9" s="18">
        <f>Umsatz!AA16+Umsatz!AA40</f>
        <v>742</v>
      </c>
      <c r="AG9" s="18">
        <f>Umsatz!AB16+Umsatz!AB40</f>
        <v>815</v>
      </c>
      <c r="AH9" s="18">
        <f>Umsatz!AC16+Umsatz!AC40</f>
        <v>894</v>
      </c>
      <c r="AI9" s="18">
        <f>Umsatz!AD16+Umsatz!AD40</f>
        <v>977</v>
      </c>
      <c r="AJ9" s="18">
        <f>Umsatz!AE16+Umsatz!AE40</f>
        <v>1064</v>
      </c>
      <c r="AK9" s="18">
        <f>Umsatz!AF16+Umsatz!AF40</f>
        <v>1157</v>
      </c>
      <c r="AL9" s="18">
        <f>Umsatz!AG16+Umsatz!AG40</f>
        <v>1254</v>
      </c>
      <c r="AM9" s="18">
        <f>Umsatz!AH16+Umsatz!AH40</f>
        <v>1356</v>
      </c>
      <c r="AN9" s="18">
        <f>Umsatz!AI16+Umsatz!AI40</f>
        <v>1464</v>
      </c>
      <c r="AO9" s="18">
        <f>Umsatz!AJ16+Umsatz!AJ40</f>
        <v>1577</v>
      </c>
      <c r="AP9" s="18">
        <f>Umsatz!AK16+Umsatz!AK40</f>
        <v>1696</v>
      </c>
    </row>
    <row r="10">
      <c r="C10" s="15" t="s">
        <v>7</v>
      </c>
      <c r="D10" s="12">
        <f t="shared" si="7"/>
        <v>3393</v>
      </c>
      <c r="E10" s="16">
        <f>Umsatz!D18</f>
        <v>15</v>
      </c>
      <c r="F10" s="16">
        <f>Umsatz!E18</f>
        <v>30</v>
      </c>
      <c r="G10" s="16">
        <f>Umsatz!F18</f>
        <v>45</v>
      </c>
      <c r="H10" s="16">
        <f>Umsatz!G18</f>
        <v>75</v>
      </c>
      <c r="I10" s="16">
        <f>Umsatz!H18</f>
        <v>135</v>
      </c>
      <c r="J10" s="16">
        <f>Umsatz!I18</f>
        <v>223.5</v>
      </c>
      <c r="K10" s="16">
        <f>Umsatz!J18</f>
        <v>402</v>
      </c>
      <c r="L10" s="16">
        <f>Umsatz!K18</f>
        <v>580.5</v>
      </c>
      <c r="M10" s="16">
        <f>Umsatz!L18</f>
        <v>802.5</v>
      </c>
      <c r="N10" s="16">
        <f>Umsatz!M18</f>
        <v>1084.5</v>
      </c>
      <c r="P10" s="19">
        <f t="shared" si="8"/>
        <v>48874.5</v>
      </c>
      <c r="Q10" s="16">
        <f>Umsatz!N18</f>
        <v>1395</v>
      </c>
      <c r="R10" s="16">
        <f>Umsatz!O18</f>
        <v>1750.5</v>
      </c>
      <c r="S10" s="16">
        <f>Umsatz!P18</f>
        <v>2149.5</v>
      </c>
      <c r="T10" s="16">
        <f>Umsatz!Q18</f>
        <v>2593.5</v>
      </c>
      <c r="U10" s="16">
        <f>Umsatz!R18</f>
        <v>3081</v>
      </c>
      <c r="V10" s="16">
        <f>Umsatz!S18</f>
        <v>3598.5</v>
      </c>
      <c r="W10" s="16">
        <f>Umsatz!T18</f>
        <v>4129.5</v>
      </c>
      <c r="X10" s="16">
        <f>Umsatz!U18</f>
        <v>4705.5</v>
      </c>
      <c r="Y10" s="16">
        <f>Umsatz!V18</f>
        <v>5325</v>
      </c>
      <c r="Z10" s="16">
        <f>Umsatz!W18</f>
        <v>5988</v>
      </c>
      <c r="AA10" s="16">
        <f>Umsatz!X18</f>
        <v>6696</v>
      </c>
      <c r="AB10" s="16">
        <f>Umsatz!Y18</f>
        <v>7462.5</v>
      </c>
      <c r="AD10" s="19">
        <f t="shared" si="9"/>
        <v>167881.5</v>
      </c>
      <c r="AE10" s="16">
        <f>Umsatz!Z18</f>
        <v>8272.5</v>
      </c>
      <c r="AF10" s="16">
        <f>Umsatz!AA18</f>
        <v>9126</v>
      </c>
      <c r="AG10" s="16">
        <f>Umsatz!AB18</f>
        <v>10023</v>
      </c>
      <c r="AH10" s="16">
        <f>Umsatz!AC18</f>
        <v>10993.5</v>
      </c>
      <c r="AI10" s="16">
        <f>Umsatz!AD18</f>
        <v>12007.5</v>
      </c>
      <c r="AJ10" s="16">
        <f>Umsatz!AE18</f>
        <v>13080</v>
      </c>
      <c r="AK10" s="16">
        <f>Umsatz!AF18</f>
        <v>14211</v>
      </c>
      <c r="AL10" s="16">
        <f>Umsatz!AG18</f>
        <v>15400.5</v>
      </c>
      <c r="AM10" s="16">
        <f>Umsatz!AH18</f>
        <v>16648.5</v>
      </c>
      <c r="AN10" s="16">
        <f>Umsatz!AI18</f>
        <v>17970</v>
      </c>
      <c r="AO10" s="16">
        <f>Umsatz!AJ18</f>
        <v>19348.5</v>
      </c>
      <c r="AP10" s="16">
        <f>Umsatz!AK18</f>
        <v>20800.5</v>
      </c>
    </row>
    <row r="11">
      <c r="C11" s="15" t="s">
        <v>8</v>
      </c>
      <c r="D11" s="12">
        <f t="shared" si="7"/>
        <v>4400</v>
      </c>
      <c r="E11" s="16">
        <f>Umsatz!D38</f>
        <v>0</v>
      </c>
      <c r="F11" s="16">
        <f>Umsatz!E38</f>
        <v>0</v>
      </c>
      <c r="G11" s="16">
        <f>Umsatz!F38</f>
        <v>0</v>
      </c>
      <c r="H11" s="16">
        <f>Umsatz!G38</f>
        <v>0</v>
      </c>
      <c r="I11" s="16">
        <f>Umsatz!H38</f>
        <v>200</v>
      </c>
      <c r="J11" s="16">
        <f>Umsatz!I38</f>
        <v>300</v>
      </c>
      <c r="K11" s="16">
        <f>Umsatz!J38</f>
        <v>500</v>
      </c>
      <c r="L11" s="16">
        <f>Umsatz!K38</f>
        <v>800</v>
      </c>
      <c r="M11" s="16">
        <f>Umsatz!L38</f>
        <v>1100</v>
      </c>
      <c r="N11" s="16">
        <f>Umsatz!M38</f>
        <v>1500</v>
      </c>
      <c r="P11" s="19">
        <f t="shared" si="8"/>
        <v>66300</v>
      </c>
      <c r="Q11" s="16">
        <f>Umsatz!N38</f>
        <v>1900</v>
      </c>
      <c r="R11" s="16">
        <f>Umsatz!O38</f>
        <v>2400</v>
      </c>
      <c r="S11" s="16">
        <f>Umsatz!P38</f>
        <v>2900</v>
      </c>
      <c r="T11" s="16">
        <f>Umsatz!Q38</f>
        <v>3500</v>
      </c>
      <c r="U11" s="16">
        <f>Umsatz!R38</f>
        <v>4200</v>
      </c>
      <c r="V11" s="16">
        <f>Umsatz!S38</f>
        <v>4900</v>
      </c>
      <c r="W11" s="16">
        <f>Umsatz!T38</f>
        <v>5600</v>
      </c>
      <c r="X11" s="16">
        <f>Umsatz!U38</f>
        <v>6400</v>
      </c>
      <c r="Y11" s="16">
        <f>Umsatz!V38</f>
        <v>7200</v>
      </c>
      <c r="Z11" s="16">
        <f>Umsatz!W38</f>
        <v>8100</v>
      </c>
      <c r="AA11" s="16">
        <f>Umsatz!X38</f>
        <v>9100</v>
      </c>
      <c r="AB11" s="16">
        <f>Umsatz!Y38</f>
        <v>10100</v>
      </c>
      <c r="AD11" s="19">
        <f t="shared" si="9"/>
        <v>227900</v>
      </c>
      <c r="AE11" s="16">
        <f>Umsatz!Z38</f>
        <v>11200</v>
      </c>
      <c r="AF11" s="16">
        <f>Umsatz!AA38</f>
        <v>12400</v>
      </c>
      <c r="AG11" s="16">
        <f>Umsatz!AB38</f>
        <v>13600</v>
      </c>
      <c r="AH11" s="16">
        <f>Umsatz!AC38</f>
        <v>14900</v>
      </c>
      <c r="AI11" s="16">
        <f>Umsatz!AD38</f>
        <v>16300</v>
      </c>
      <c r="AJ11" s="16">
        <f>Umsatz!AE38</f>
        <v>17700</v>
      </c>
      <c r="AK11" s="16">
        <f>Umsatz!AF38</f>
        <v>19300</v>
      </c>
      <c r="AL11" s="16">
        <f>Umsatz!AG38</f>
        <v>20900</v>
      </c>
      <c r="AM11" s="16">
        <f>Umsatz!AH38</f>
        <v>22600</v>
      </c>
      <c r="AN11" s="16">
        <f>Umsatz!AI38</f>
        <v>24400</v>
      </c>
      <c r="AO11" s="16">
        <f>Umsatz!AJ38</f>
        <v>26300</v>
      </c>
      <c r="AP11" s="16">
        <f>Umsatz!AK38</f>
        <v>28300</v>
      </c>
    </row>
    <row r="12">
      <c r="C12" s="15" t="s">
        <v>9</v>
      </c>
      <c r="D12" s="20"/>
      <c r="E12" s="15" t="s">
        <v>10</v>
      </c>
      <c r="F12" s="21">
        <f t="shared" ref="F12:N12" si="10">(F4-E4)/E4</f>
        <v>1</v>
      </c>
      <c r="G12" s="21">
        <f t="shared" si="10"/>
        <v>0.5</v>
      </c>
      <c r="H12" s="21">
        <f t="shared" si="10"/>
        <v>0.6666666667</v>
      </c>
      <c r="I12" s="21">
        <f t="shared" si="10"/>
        <v>3.466666667</v>
      </c>
      <c r="J12" s="21">
        <f t="shared" si="10"/>
        <v>0.5626865672</v>
      </c>
      <c r="K12" s="21">
        <f t="shared" si="10"/>
        <v>0.7230181471</v>
      </c>
      <c r="L12" s="21">
        <f t="shared" si="10"/>
        <v>0.5304878049</v>
      </c>
      <c r="M12" s="21">
        <f t="shared" si="10"/>
        <v>0.3781238682</v>
      </c>
      <c r="N12" s="21">
        <f t="shared" si="10"/>
        <v>0.3584756899</v>
      </c>
      <c r="O12" s="21"/>
      <c r="P12" s="22"/>
      <c r="Q12" s="21">
        <f>(Q4-N4)/N4</f>
        <v>0.274908106</v>
      </c>
      <c r="R12" s="21">
        <f t="shared" ref="R12:AB12" si="11">(R4-Q4)/Q4</f>
        <v>0.2596358118</v>
      </c>
      <c r="S12" s="21">
        <f t="shared" si="11"/>
        <v>0.2166004096</v>
      </c>
      <c r="T12" s="21">
        <f t="shared" si="11"/>
        <v>0.2067531439</v>
      </c>
      <c r="U12" s="21">
        <f t="shared" si="11"/>
        <v>0.1948797899</v>
      </c>
      <c r="V12" s="21">
        <f t="shared" si="11"/>
        <v>0.1672160418</v>
      </c>
      <c r="W12" s="21">
        <f t="shared" si="11"/>
        <v>0.144849091</v>
      </c>
      <c r="X12" s="21">
        <f t="shared" si="11"/>
        <v>0.1414255614</v>
      </c>
      <c r="Y12" s="21">
        <f t="shared" si="11"/>
        <v>0.1278195489</v>
      </c>
      <c r="Z12" s="21">
        <f t="shared" si="11"/>
        <v>0.1247904192</v>
      </c>
      <c r="AA12" s="21">
        <f t="shared" si="11"/>
        <v>0.121237933</v>
      </c>
      <c r="AB12" s="21">
        <f t="shared" si="11"/>
        <v>0.1118321094</v>
      </c>
      <c r="AC12" s="21"/>
      <c r="AD12" s="22"/>
      <c r="AE12" s="21">
        <f>(AE4-AB4)/AB4</f>
        <v>0.1087544484</v>
      </c>
      <c r="AF12" s="21">
        <f t="shared" ref="AF12:AP12" si="12">(AF4-AE4)/AE4</f>
        <v>0.1054564129</v>
      </c>
      <c r="AG12" s="21">
        <f t="shared" si="12"/>
        <v>0.09741707702</v>
      </c>
      <c r="AH12" s="21">
        <f t="shared" si="12"/>
        <v>0.09611395674</v>
      </c>
      <c r="AI12" s="21">
        <f t="shared" si="12"/>
        <v>0.0932280302</v>
      </c>
      <c r="AJ12" s="21">
        <f t="shared" si="12"/>
        <v>0.08734434337</v>
      </c>
      <c r="AK12" s="21">
        <f t="shared" si="12"/>
        <v>0.08872644574</v>
      </c>
      <c r="AL12" s="21">
        <f t="shared" si="12"/>
        <v>0.08324132374</v>
      </c>
      <c r="AM12" s="21">
        <f t="shared" si="12"/>
        <v>0.0812110026</v>
      </c>
      <c r="AN12" s="21">
        <f t="shared" si="12"/>
        <v>0.07953170185</v>
      </c>
      <c r="AO12" s="21">
        <f t="shared" si="12"/>
        <v>0.07737786169</v>
      </c>
      <c r="AP12" s="21">
        <f t="shared" si="12"/>
        <v>0.07562132381</v>
      </c>
    </row>
    <row r="13">
      <c r="D13" s="6"/>
      <c r="P13" s="6"/>
      <c r="AD13" s="6"/>
    </row>
    <row r="14">
      <c r="A14" s="10" t="s">
        <v>11</v>
      </c>
      <c r="B14" s="11"/>
      <c r="C14" s="11"/>
      <c r="D14" s="12">
        <f>SUM(E14:N14)</f>
        <v>-21306.76</v>
      </c>
      <c r="E14" s="13">
        <f>Kosten!E3</f>
        <v>-2857.3</v>
      </c>
      <c r="F14" s="13">
        <f>Kosten!F3</f>
        <v>-1697.1</v>
      </c>
      <c r="G14" s="13">
        <f>Kosten!G3</f>
        <v>-1213.9</v>
      </c>
      <c r="H14" s="13">
        <f>Kosten!H3</f>
        <v>-1356.5</v>
      </c>
      <c r="I14" s="13">
        <f>Kosten!I3</f>
        <v>-1513.7</v>
      </c>
      <c r="J14" s="13">
        <f>Kosten!J3</f>
        <v>-1757.02</v>
      </c>
      <c r="K14" s="13">
        <f>Kosten!K3</f>
        <v>-2182.14</v>
      </c>
      <c r="L14" s="13">
        <f>Kosten!L3</f>
        <v>-2956.26</v>
      </c>
      <c r="M14" s="13">
        <f>Kosten!M3</f>
        <v>-2702.3</v>
      </c>
      <c r="N14" s="13">
        <f>Kosten!N3</f>
        <v>-3070.54</v>
      </c>
      <c r="O14" s="14"/>
      <c r="P14" s="12">
        <f>SUM(Q14:AB14)</f>
        <v>-78747.84</v>
      </c>
      <c r="Q14" s="13">
        <f>Kosten!O3</f>
        <v>-3447.9</v>
      </c>
      <c r="R14" s="13">
        <f>Kosten!P3</f>
        <v>-3874.66</v>
      </c>
      <c r="S14" s="13">
        <f>Kosten!Q3</f>
        <v>-5062.34</v>
      </c>
      <c r="T14" s="13">
        <f>Kosten!R3</f>
        <v>-5353.42</v>
      </c>
      <c r="U14" s="13">
        <f>Kosten!S3</f>
        <v>-5416.42</v>
      </c>
      <c r="V14" s="13">
        <f>Kosten!T3</f>
        <v>-5985.02</v>
      </c>
      <c r="W14" s="13">
        <f>Kosten!U3</f>
        <v>-6537.94</v>
      </c>
      <c r="X14" s="13">
        <f>Kosten!V3</f>
        <v>-7158.26</v>
      </c>
      <c r="Y14" s="13">
        <f>Kosten!W3</f>
        <v>-7834.5</v>
      </c>
      <c r="Z14" s="13">
        <f>Kosten!X3</f>
        <v>-8563.66</v>
      </c>
      <c r="AA14" s="13">
        <f>Kosten!Y3</f>
        <v>-9348.22</v>
      </c>
      <c r="AB14" s="13">
        <f>Kosten!Z3</f>
        <v>-10165.5</v>
      </c>
      <c r="AC14" s="14"/>
      <c r="AD14" s="12">
        <f>SUM(AE14:AP14)</f>
        <v>-206886.08</v>
      </c>
      <c r="AE14" s="13">
        <f>Kosten!AA3</f>
        <v>-11237.7</v>
      </c>
      <c r="AF14" s="13">
        <f>Kosten!AB3</f>
        <v>-12068.82</v>
      </c>
      <c r="AG14" s="13">
        <f>Kosten!AC3</f>
        <v>-13250.86</v>
      </c>
      <c r="AH14" s="13">
        <f>Kosten!AD3</f>
        <v>-14457.42</v>
      </c>
      <c r="AI14" s="13">
        <f>Kosten!AE3</f>
        <v>-15045.9</v>
      </c>
      <c r="AJ14" s="13">
        <f>Kosten!AF3</f>
        <v>-16173.1</v>
      </c>
      <c r="AK14" s="13">
        <f>Kosten!AG3</f>
        <v>-17393.02</v>
      </c>
      <c r="AL14" s="13">
        <f>Kosten!AH3</f>
        <v>-18651.66</v>
      </c>
      <c r="AM14" s="13">
        <f>Kosten!AI3</f>
        <v>-19978.02</v>
      </c>
      <c r="AN14" s="13">
        <f>Kosten!AJ3</f>
        <v>-21378.9</v>
      </c>
      <c r="AO14" s="13">
        <f>Kosten!AK3</f>
        <v>-22851.02</v>
      </c>
      <c r="AP14" s="13">
        <f>Kosten!AL3</f>
        <v>-24399.66</v>
      </c>
    </row>
    <row r="15">
      <c r="D15" s="6"/>
      <c r="P15" s="6"/>
      <c r="AD15" s="6"/>
    </row>
    <row r="16">
      <c r="A16" s="23"/>
      <c r="B16" s="24" t="s">
        <v>12</v>
      </c>
      <c r="C16" s="24"/>
      <c r="D16" s="12">
        <f t="shared" ref="D16:D17" si="13">SUM(E16:N16)</f>
        <v>-4967.76</v>
      </c>
      <c r="E16" s="25">
        <f>Kosten!E5</f>
        <v>-10.8</v>
      </c>
      <c r="F16" s="25">
        <f>Kosten!F5</f>
        <v>-21.6</v>
      </c>
      <c r="G16" s="25">
        <f>Kosten!G5</f>
        <v>-38.4</v>
      </c>
      <c r="H16" s="25">
        <f>Kosten!H5</f>
        <v>-82</v>
      </c>
      <c r="I16" s="25">
        <f>Kosten!I5</f>
        <v>-219.2</v>
      </c>
      <c r="J16" s="25">
        <f>Kosten!J5</f>
        <v>-362.52</v>
      </c>
      <c r="K16" s="25">
        <f>Kosten!K5</f>
        <v>-637.64</v>
      </c>
      <c r="L16" s="25">
        <f>Kosten!L5</f>
        <v>-911.76</v>
      </c>
      <c r="M16" s="25">
        <f>Kosten!M5</f>
        <v>-1157.8</v>
      </c>
      <c r="N16" s="25">
        <f>Kosten!N5</f>
        <v>-1526.04</v>
      </c>
      <c r="O16" s="14"/>
      <c r="P16" s="12">
        <f t="shared" ref="P16:P17" si="14">SUM(Q16:AB16)</f>
        <v>-58992.84</v>
      </c>
      <c r="Q16" s="25">
        <f>Kosten!O5</f>
        <v>-1903.4</v>
      </c>
      <c r="R16" s="25">
        <f>Kosten!P5</f>
        <v>-2330.16</v>
      </c>
      <c r="S16" s="25">
        <f>Kosten!Q5</f>
        <v>-2796.84</v>
      </c>
      <c r="T16" s="25">
        <f>Kosten!R5</f>
        <v>-3308.92</v>
      </c>
      <c r="U16" s="25">
        <f>Kosten!S5</f>
        <v>-3871.92</v>
      </c>
      <c r="V16" s="25">
        <f>Kosten!T5</f>
        <v>-4440.52</v>
      </c>
      <c r="W16" s="25">
        <f>Kosten!U5</f>
        <v>-4993.44</v>
      </c>
      <c r="X16" s="25">
        <f>Kosten!V5</f>
        <v>-5613.76</v>
      </c>
      <c r="Y16" s="25">
        <f>Kosten!W5</f>
        <v>-6290</v>
      </c>
      <c r="Z16" s="25">
        <f>Kosten!X5</f>
        <v>-7019.16</v>
      </c>
      <c r="AA16" s="25">
        <f>Kosten!Y5</f>
        <v>-7803.72</v>
      </c>
      <c r="AB16" s="25">
        <f>Kosten!Z5</f>
        <v>-8621</v>
      </c>
      <c r="AC16" s="14"/>
      <c r="AD16" s="12">
        <f t="shared" ref="AD16:AD17" si="15">SUM(AE16:AP16)</f>
        <v>-187231.08</v>
      </c>
      <c r="AE16" s="25">
        <f>Kosten!AA5</f>
        <v>-9493.2</v>
      </c>
      <c r="AF16" s="25">
        <f>Kosten!AB5</f>
        <v>-10424.32</v>
      </c>
      <c r="AG16" s="25">
        <f>Kosten!AC5</f>
        <v>-11385.36</v>
      </c>
      <c r="AH16" s="25">
        <f>Kosten!AD5</f>
        <v>-12412.92</v>
      </c>
      <c r="AI16" s="25">
        <f>Kosten!AE5</f>
        <v>-13501.4</v>
      </c>
      <c r="AJ16" s="25">
        <f>Kosten!AF5</f>
        <v>-14628.6</v>
      </c>
      <c r="AK16" s="25">
        <f>Kosten!AG5</f>
        <v>-15848.52</v>
      </c>
      <c r="AL16" s="25">
        <f>Kosten!AH5</f>
        <v>-17107.16</v>
      </c>
      <c r="AM16" s="25">
        <f>Kosten!AI5</f>
        <v>-18433.52</v>
      </c>
      <c r="AN16" s="25">
        <f>Kosten!AJ5</f>
        <v>-19834.4</v>
      </c>
      <c r="AO16" s="25">
        <f>Kosten!AK5</f>
        <v>-21306.52</v>
      </c>
      <c r="AP16" s="25">
        <f>Kosten!AL5</f>
        <v>-22855.16</v>
      </c>
    </row>
    <row r="17">
      <c r="B17" s="15"/>
      <c r="C17" s="15" t="s">
        <v>13</v>
      </c>
      <c r="D17" s="19">
        <f t="shared" si="13"/>
        <v>-4967.76</v>
      </c>
      <c r="E17" s="16">
        <f>Kosten!E5</f>
        <v>-10.8</v>
      </c>
      <c r="F17" s="16">
        <f>Kosten!F5</f>
        <v>-21.6</v>
      </c>
      <c r="G17" s="16">
        <f>Kosten!G5</f>
        <v>-38.4</v>
      </c>
      <c r="H17" s="16">
        <f>Kosten!H5</f>
        <v>-82</v>
      </c>
      <c r="I17" s="16">
        <f>Kosten!I5</f>
        <v>-219.2</v>
      </c>
      <c r="J17" s="16">
        <f>Kosten!J5</f>
        <v>-362.52</v>
      </c>
      <c r="K17" s="16">
        <f>Kosten!K5</f>
        <v>-637.64</v>
      </c>
      <c r="L17" s="16">
        <f>Kosten!L5</f>
        <v>-911.76</v>
      </c>
      <c r="M17" s="16">
        <f>Kosten!M5</f>
        <v>-1157.8</v>
      </c>
      <c r="N17" s="16">
        <f>Kosten!N5</f>
        <v>-1526.04</v>
      </c>
      <c r="P17" s="19">
        <f t="shared" si="14"/>
        <v>-58992.84</v>
      </c>
      <c r="Q17" s="16">
        <f>Kosten!O5</f>
        <v>-1903.4</v>
      </c>
      <c r="R17" s="16">
        <f>Kosten!P5</f>
        <v>-2330.16</v>
      </c>
      <c r="S17" s="16">
        <f>Kosten!Q5</f>
        <v>-2796.84</v>
      </c>
      <c r="T17" s="16">
        <f>Kosten!R5</f>
        <v>-3308.92</v>
      </c>
      <c r="U17" s="16">
        <f>Kosten!S5</f>
        <v>-3871.92</v>
      </c>
      <c r="V17" s="16">
        <f>Kosten!T5</f>
        <v>-4440.52</v>
      </c>
      <c r="W17" s="16">
        <f>Kosten!U5</f>
        <v>-4993.44</v>
      </c>
      <c r="X17" s="16">
        <f>Kosten!V5</f>
        <v>-5613.76</v>
      </c>
      <c r="Y17" s="16">
        <f>Kosten!W5</f>
        <v>-6290</v>
      </c>
      <c r="Z17" s="16">
        <f>Kosten!X5</f>
        <v>-7019.16</v>
      </c>
      <c r="AA17" s="16">
        <f>Kosten!Y5</f>
        <v>-7803.72</v>
      </c>
      <c r="AB17" s="16">
        <f>Kosten!Z5</f>
        <v>-8621</v>
      </c>
      <c r="AD17" s="19">
        <f t="shared" si="15"/>
        <v>-187231.08</v>
      </c>
      <c r="AE17" s="16">
        <f>Kosten!AA5</f>
        <v>-9493.2</v>
      </c>
      <c r="AF17" s="16">
        <f>Kosten!AB5</f>
        <v>-10424.32</v>
      </c>
      <c r="AG17" s="16">
        <f>Kosten!AC5</f>
        <v>-11385.36</v>
      </c>
      <c r="AH17" s="16">
        <f>Kosten!AD5</f>
        <v>-12412.92</v>
      </c>
      <c r="AI17" s="16">
        <f>Kosten!AE5</f>
        <v>-13501.4</v>
      </c>
      <c r="AJ17" s="16">
        <f>Kosten!AF5</f>
        <v>-14628.6</v>
      </c>
      <c r="AK17" s="16">
        <f>Kosten!AG5</f>
        <v>-15848.52</v>
      </c>
      <c r="AL17" s="16">
        <f>Kosten!AH5</f>
        <v>-17107.16</v>
      </c>
      <c r="AM17" s="16">
        <f>Kosten!AI5</f>
        <v>-18433.52</v>
      </c>
      <c r="AN17" s="16">
        <f>Kosten!AJ5</f>
        <v>-19834.4</v>
      </c>
      <c r="AO17" s="16">
        <f>Kosten!AK5</f>
        <v>-21306.52</v>
      </c>
      <c r="AP17" s="16">
        <f>Kosten!AL5</f>
        <v>-22855.16</v>
      </c>
    </row>
    <row r="18">
      <c r="D18" s="6"/>
      <c r="P18" s="6"/>
      <c r="AD18" s="6"/>
    </row>
    <row r="19">
      <c r="A19" s="23"/>
      <c r="B19" s="24" t="s">
        <v>14</v>
      </c>
      <c r="C19" s="24"/>
      <c r="D19" s="12">
        <f t="shared" ref="D19:D24" si="16">SUM(E19:N19)</f>
        <v>-16339</v>
      </c>
      <c r="E19" s="25">
        <f>Kosten!E13</f>
        <v>-2846.5</v>
      </c>
      <c r="F19" s="25">
        <f>Kosten!F13</f>
        <v>-1675.5</v>
      </c>
      <c r="G19" s="25">
        <f>Kosten!G13</f>
        <v>-1175.5</v>
      </c>
      <c r="H19" s="25">
        <f>Kosten!H13</f>
        <v>-1274.5</v>
      </c>
      <c r="I19" s="25">
        <f>Kosten!I13</f>
        <v>-1294.5</v>
      </c>
      <c r="J19" s="25">
        <f>Kosten!J13</f>
        <v>-1394.5</v>
      </c>
      <c r="K19" s="25">
        <f>Kosten!K13</f>
        <v>-1544.5</v>
      </c>
      <c r="L19" s="25">
        <f>Kosten!L13</f>
        <v>-2044.5</v>
      </c>
      <c r="M19" s="25">
        <f>Kosten!M13</f>
        <v>-1544.5</v>
      </c>
      <c r="N19" s="25">
        <f>Kosten!N13</f>
        <v>-1544.5</v>
      </c>
      <c r="O19" s="14"/>
      <c r="P19" s="12">
        <f t="shared" ref="P19:P23" si="17">SUM(Q19:AB19)</f>
        <v>-19755</v>
      </c>
      <c r="Q19" s="25">
        <f>Kosten!O13</f>
        <v>-1544.5</v>
      </c>
      <c r="R19" s="25">
        <f>Kosten!P13</f>
        <v>-1544.5</v>
      </c>
      <c r="S19" s="25">
        <f>Kosten!Q13</f>
        <v>-2265.5</v>
      </c>
      <c r="T19" s="25">
        <f>Kosten!R13</f>
        <v>-2044.5</v>
      </c>
      <c r="U19" s="25">
        <f>Kosten!S13</f>
        <v>-1544.5</v>
      </c>
      <c r="V19" s="25">
        <f>Kosten!T13</f>
        <v>-1544.5</v>
      </c>
      <c r="W19" s="25">
        <f>Kosten!U13</f>
        <v>-1544.5</v>
      </c>
      <c r="X19" s="25">
        <f>Kosten!V13</f>
        <v>-1544.5</v>
      </c>
      <c r="Y19" s="25">
        <f>Kosten!W13</f>
        <v>-1544.5</v>
      </c>
      <c r="Z19" s="25">
        <f>Kosten!X13</f>
        <v>-1544.5</v>
      </c>
      <c r="AA19" s="25">
        <f>Kosten!Y13</f>
        <v>-1544.5</v>
      </c>
      <c r="AB19" s="25">
        <f>Kosten!Z13</f>
        <v>-1544.5</v>
      </c>
      <c r="AC19" s="14"/>
      <c r="AD19" s="12">
        <f t="shared" ref="AD19:AD23" si="18">SUM(AE19:AP19)</f>
        <v>-19655</v>
      </c>
      <c r="AE19" s="25">
        <f>Kosten!AA13</f>
        <v>-1744.5</v>
      </c>
      <c r="AF19" s="25">
        <f>Kosten!AB13</f>
        <v>-1644.5</v>
      </c>
      <c r="AG19" s="25">
        <f>Kosten!AC13</f>
        <v>-1865.5</v>
      </c>
      <c r="AH19" s="25">
        <f>Kosten!AD13</f>
        <v>-2044.5</v>
      </c>
      <c r="AI19" s="25">
        <f>Kosten!AE13</f>
        <v>-1544.5</v>
      </c>
      <c r="AJ19" s="25">
        <f>Kosten!AF13</f>
        <v>-1544.5</v>
      </c>
      <c r="AK19" s="25">
        <f>Kosten!AG13</f>
        <v>-1544.5</v>
      </c>
      <c r="AL19" s="25">
        <f>Kosten!AH13</f>
        <v>-1544.5</v>
      </c>
      <c r="AM19" s="25">
        <f>Kosten!AI13</f>
        <v>-1544.5</v>
      </c>
      <c r="AN19" s="25">
        <f>Kosten!AJ13</f>
        <v>-1544.5</v>
      </c>
      <c r="AO19" s="25">
        <f>Kosten!AK13</f>
        <v>-1544.5</v>
      </c>
      <c r="AP19" s="25">
        <f>Kosten!AL13</f>
        <v>-1544.5</v>
      </c>
    </row>
    <row r="20">
      <c r="B20" s="15"/>
      <c r="C20" s="15" t="str">
        <f>Kosten!B15</f>
        <v>Produktentwicklung</v>
      </c>
      <c r="D20" s="19">
        <f t="shared" si="16"/>
        <v>-6800</v>
      </c>
      <c r="E20" s="16">
        <f>Kosten!E15</f>
        <v>-680</v>
      </c>
      <c r="F20" s="16">
        <f>Kosten!F15</f>
        <v>-680</v>
      </c>
      <c r="G20" s="16">
        <f>Kosten!G15</f>
        <v>-680</v>
      </c>
      <c r="H20" s="16">
        <f>Kosten!H15</f>
        <v>-680</v>
      </c>
      <c r="I20" s="16">
        <f>Kosten!I15</f>
        <v>-680</v>
      </c>
      <c r="J20" s="16">
        <f>Kosten!J15</f>
        <v>-680</v>
      </c>
      <c r="K20" s="16">
        <f>Kosten!K15</f>
        <v>-680</v>
      </c>
      <c r="L20" s="16">
        <f>Kosten!L15</f>
        <v>-680</v>
      </c>
      <c r="M20" s="16">
        <f>Kosten!M15</f>
        <v>-680</v>
      </c>
      <c r="N20" s="16">
        <f>Kosten!N15</f>
        <v>-680</v>
      </c>
      <c r="P20" s="19">
        <f t="shared" si="17"/>
        <v>-8160</v>
      </c>
      <c r="Q20" s="16">
        <f>Kosten!O15</f>
        <v>-680</v>
      </c>
      <c r="R20" s="16">
        <f>Kosten!P15</f>
        <v>-680</v>
      </c>
      <c r="S20" s="16">
        <f>Kosten!Q15</f>
        <v>-680</v>
      </c>
      <c r="T20" s="16">
        <f>Kosten!R15</f>
        <v>-680</v>
      </c>
      <c r="U20" s="16">
        <f>Kosten!S15</f>
        <v>-680</v>
      </c>
      <c r="V20" s="16">
        <f>Kosten!T15</f>
        <v>-680</v>
      </c>
      <c r="W20" s="16">
        <f>Kosten!U15</f>
        <v>-680</v>
      </c>
      <c r="X20" s="16">
        <f>Kosten!V15</f>
        <v>-680</v>
      </c>
      <c r="Y20" s="16">
        <f>Kosten!W15</f>
        <v>-680</v>
      </c>
      <c r="Z20" s="16">
        <f>Kosten!X15</f>
        <v>-680</v>
      </c>
      <c r="AA20" s="16">
        <f>Kosten!Y15</f>
        <v>-680</v>
      </c>
      <c r="AB20" s="16">
        <f>Kosten!Z15</f>
        <v>-680</v>
      </c>
      <c r="AD20" s="19">
        <f t="shared" si="18"/>
        <v>-8160</v>
      </c>
      <c r="AE20" s="16">
        <f>Kosten!AA15</f>
        <v>-680</v>
      </c>
      <c r="AF20" s="16">
        <f>Kosten!AB15</f>
        <v>-680</v>
      </c>
      <c r="AG20" s="16">
        <f>Kosten!AC15</f>
        <v>-680</v>
      </c>
      <c r="AH20" s="16">
        <f>Kosten!AD15</f>
        <v>-680</v>
      </c>
      <c r="AI20" s="16">
        <f>Kosten!AE15</f>
        <v>-680</v>
      </c>
      <c r="AJ20" s="16">
        <f>Kosten!AF15</f>
        <v>-680</v>
      </c>
      <c r="AK20" s="16">
        <f>Kosten!AG15</f>
        <v>-680</v>
      </c>
      <c r="AL20" s="16">
        <f>Kosten!AH15</f>
        <v>-680</v>
      </c>
      <c r="AM20" s="16">
        <f>Kosten!AI15</f>
        <v>-680</v>
      </c>
      <c r="AN20" s="16">
        <f>Kosten!AJ15</f>
        <v>-680</v>
      </c>
      <c r="AO20" s="16">
        <f>Kosten!AK15</f>
        <v>-680</v>
      </c>
      <c r="AP20" s="16">
        <f>Kosten!AL15</f>
        <v>-680</v>
      </c>
    </row>
    <row r="21">
      <c r="B21" s="15"/>
      <c r="C21" s="15" t="str">
        <f>Kosten!B48</f>
        <v>Marketing Kosten</v>
      </c>
      <c r="D21" s="19">
        <f t="shared" si="16"/>
        <v>-2793</v>
      </c>
      <c r="E21" s="16">
        <f>Kosten!E48</f>
        <v>-210</v>
      </c>
      <c r="F21" s="16">
        <f>Kosten!F48</f>
        <v>-210</v>
      </c>
      <c r="G21" s="16">
        <f>Kosten!G48</f>
        <v>-210</v>
      </c>
      <c r="H21" s="16">
        <f>Kosten!H48</f>
        <v>-309</v>
      </c>
      <c r="I21" s="16">
        <f>Kosten!I48</f>
        <v>-309</v>
      </c>
      <c r="J21" s="16">
        <f>Kosten!J48</f>
        <v>-309</v>
      </c>
      <c r="K21" s="16">
        <f>Kosten!K48</f>
        <v>-309</v>
      </c>
      <c r="L21" s="16">
        <f>Kosten!L48</f>
        <v>-309</v>
      </c>
      <c r="M21" s="16">
        <f>Kosten!M48</f>
        <v>-309</v>
      </c>
      <c r="N21" s="16">
        <f>Kosten!N48</f>
        <v>-309</v>
      </c>
      <c r="P21" s="19">
        <f t="shared" si="17"/>
        <v>-3708</v>
      </c>
      <c r="Q21" s="16">
        <f>Kosten!O48</f>
        <v>-309</v>
      </c>
      <c r="R21" s="16">
        <f>Kosten!P48</f>
        <v>-309</v>
      </c>
      <c r="S21" s="16">
        <f>Kosten!Q48</f>
        <v>-309</v>
      </c>
      <c r="T21" s="16">
        <f>Kosten!R48</f>
        <v>-309</v>
      </c>
      <c r="U21" s="16">
        <f>Kosten!S48</f>
        <v>-309</v>
      </c>
      <c r="V21" s="16">
        <f>Kosten!T48</f>
        <v>-309</v>
      </c>
      <c r="W21" s="16">
        <f>Kosten!U48</f>
        <v>-309</v>
      </c>
      <c r="X21" s="16">
        <f>Kosten!V48</f>
        <v>-309</v>
      </c>
      <c r="Y21" s="16">
        <f>Kosten!W48</f>
        <v>-309</v>
      </c>
      <c r="Z21" s="16">
        <f>Kosten!X48</f>
        <v>-309</v>
      </c>
      <c r="AA21" s="16">
        <f>Kosten!Y48</f>
        <v>-309</v>
      </c>
      <c r="AB21" s="16">
        <f>Kosten!Z48</f>
        <v>-309</v>
      </c>
      <c r="AD21" s="19">
        <f t="shared" si="18"/>
        <v>-3708</v>
      </c>
      <c r="AE21" s="16">
        <f>Kosten!AA48</f>
        <v>-309</v>
      </c>
      <c r="AF21" s="16">
        <f>Kosten!AB48</f>
        <v>-309</v>
      </c>
      <c r="AG21" s="16">
        <f>Kosten!AC48</f>
        <v>-309</v>
      </c>
      <c r="AH21" s="16">
        <f>Kosten!AD48</f>
        <v>-309</v>
      </c>
      <c r="AI21" s="16">
        <f>Kosten!AE48</f>
        <v>-309</v>
      </c>
      <c r="AJ21" s="16">
        <f>Kosten!AF48</f>
        <v>-309</v>
      </c>
      <c r="AK21" s="16">
        <f>Kosten!AG48</f>
        <v>-309</v>
      </c>
      <c r="AL21" s="16">
        <f>Kosten!AH48</f>
        <v>-309</v>
      </c>
      <c r="AM21" s="16">
        <f>Kosten!AI48</f>
        <v>-309</v>
      </c>
      <c r="AN21" s="16">
        <f>Kosten!AJ48</f>
        <v>-309</v>
      </c>
      <c r="AO21" s="16">
        <f>Kosten!AK48</f>
        <v>-309</v>
      </c>
      <c r="AP21" s="16">
        <f>Kosten!AL48</f>
        <v>-309</v>
      </c>
    </row>
    <row r="22">
      <c r="B22" s="15"/>
      <c r="C22" s="15" t="str">
        <f>Kosten!B29</f>
        <v>Administrative Kosten</v>
      </c>
      <c r="D22" s="19">
        <f t="shared" si="16"/>
        <v>-1419</v>
      </c>
      <c r="E22" s="16">
        <f>Kosten!E29</f>
        <v>-81.9</v>
      </c>
      <c r="F22" s="16">
        <f>Kosten!F29</f>
        <v>-81.9</v>
      </c>
      <c r="G22" s="16">
        <f>Kosten!G29</f>
        <v>-81.9</v>
      </c>
      <c r="H22" s="16">
        <f>Kosten!H29</f>
        <v>-81.9</v>
      </c>
      <c r="I22" s="16">
        <f>Kosten!I29</f>
        <v>-81.9</v>
      </c>
      <c r="J22" s="16">
        <f>Kosten!J29</f>
        <v>-81.9</v>
      </c>
      <c r="K22" s="16">
        <f>Kosten!K29</f>
        <v>-231.9</v>
      </c>
      <c r="L22" s="16">
        <f>Kosten!L29</f>
        <v>-231.9</v>
      </c>
      <c r="M22" s="16">
        <f>Kosten!M29</f>
        <v>-231.9</v>
      </c>
      <c r="N22" s="16">
        <f>Kosten!N29</f>
        <v>-231.9</v>
      </c>
      <c r="P22" s="19">
        <f t="shared" si="17"/>
        <v>-4003.8</v>
      </c>
      <c r="Q22" s="16">
        <f>Kosten!O29</f>
        <v>-231.9</v>
      </c>
      <c r="R22" s="16">
        <f>Kosten!P29</f>
        <v>-231.9</v>
      </c>
      <c r="S22" s="16">
        <f>Kosten!Q29</f>
        <v>-952.9</v>
      </c>
      <c r="T22" s="16">
        <f>Kosten!R29</f>
        <v>-731.9</v>
      </c>
      <c r="U22" s="16">
        <f>Kosten!S29</f>
        <v>-231.9</v>
      </c>
      <c r="V22" s="16">
        <f>Kosten!T29</f>
        <v>-231.9</v>
      </c>
      <c r="W22" s="16">
        <f>Kosten!U29</f>
        <v>-231.9</v>
      </c>
      <c r="X22" s="16">
        <f>Kosten!V29</f>
        <v>-231.9</v>
      </c>
      <c r="Y22" s="16">
        <f>Kosten!W29</f>
        <v>-231.9</v>
      </c>
      <c r="Z22" s="16">
        <f>Kosten!X29</f>
        <v>-231.9</v>
      </c>
      <c r="AA22" s="16">
        <f>Kosten!Y29</f>
        <v>-231.9</v>
      </c>
      <c r="AB22" s="16">
        <f>Kosten!Z29</f>
        <v>-231.9</v>
      </c>
      <c r="AD22" s="19">
        <f t="shared" si="18"/>
        <v>-3903.8</v>
      </c>
      <c r="AE22" s="16">
        <f>Kosten!AA29</f>
        <v>-431.9</v>
      </c>
      <c r="AF22" s="16">
        <f>Kosten!AB29</f>
        <v>-331.9</v>
      </c>
      <c r="AG22" s="16">
        <f>Kosten!AC29</f>
        <v>-552.9</v>
      </c>
      <c r="AH22" s="16">
        <f>Kosten!AD29</f>
        <v>-731.9</v>
      </c>
      <c r="AI22" s="16">
        <f>Kosten!AE29</f>
        <v>-231.9</v>
      </c>
      <c r="AJ22" s="16">
        <f>Kosten!AF29</f>
        <v>-231.9</v>
      </c>
      <c r="AK22" s="16">
        <f>Kosten!AG29</f>
        <v>-231.9</v>
      </c>
      <c r="AL22" s="16">
        <f>Kosten!AH29</f>
        <v>-231.9</v>
      </c>
      <c r="AM22" s="16">
        <f>Kosten!AI29</f>
        <v>-231.9</v>
      </c>
      <c r="AN22" s="16">
        <f>Kosten!AJ29</f>
        <v>-231.9</v>
      </c>
      <c r="AO22" s="16">
        <f>Kosten!AK29</f>
        <v>-231.9</v>
      </c>
      <c r="AP22" s="16">
        <f>Kosten!AL29</f>
        <v>-231.9</v>
      </c>
    </row>
    <row r="23">
      <c r="B23" s="15"/>
      <c r="C23" s="15" t="str">
        <f>Kosten!B21</f>
        <v>IT Infrastruktur</v>
      </c>
      <c r="D23" s="19">
        <f t="shared" si="16"/>
        <v>-2656</v>
      </c>
      <c r="E23" s="16">
        <f>Kosten!E21</f>
        <v>-203.6</v>
      </c>
      <c r="F23" s="16">
        <f>Kosten!F21</f>
        <v>-203.6</v>
      </c>
      <c r="G23" s="16">
        <f>Kosten!G21</f>
        <v>-203.6</v>
      </c>
      <c r="H23" s="16">
        <f>Kosten!H21</f>
        <v>-203.6</v>
      </c>
      <c r="I23" s="16">
        <f>Kosten!I21</f>
        <v>-223.6</v>
      </c>
      <c r="J23" s="16">
        <f>Kosten!J21</f>
        <v>-323.6</v>
      </c>
      <c r="K23" s="16">
        <f>Kosten!K21</f>
        <v>-323.6</v>
      </c>
      <c r="L23" s="16">
        <f>Kosten!L21</f>
        <v>-323.6</v>
      </c>
      <c r="M23" s="16">
        <f>Kosten!M21</f>
        <v>-323.6</v>
      </c>
      <c r="N23" s="16">
        <f>Kosten!N21</f>
        <v>-323.6</v>
      </c>
      <c r="P23" s="19">
        <f t="shared" si="17"/>
        <v>-3883.2</v>
      </c>
      <c r="Q23" s="16">
        <f>Kosten!O21</f>
        <v>-323.6</v>
      </c>
      <c r="R23" s="16">
        <f>Kosten!P21</f>
        <v>-323.6</v>
      </c>
      <c r="S23" s="16">
        <f>Kosten!Q21</f>
        <v>-323.6</v>
      </c>
      <c r="T23" s="16">
        <f>Kosten!R21</f>
        <v>-323.6</v>
      </c>
      <c r="U23" s="16">
        <f>Kosten!S21</f>
        <v>-323.6</v>
      </c>
      <c r="V23" s="16">
        <f>Kosten!T21</f>
        <v>-323.6</v>
      </c>
      <c r="W23" s="16">
        <f>Kosten!U21</f>
        <v>-323.6</v>
      </c>
      <c r="X23" s="16">
        <f>Kosten!V21</f>
        <v>-323.6</v>
      </c>
      <c r="Y23" s="16">
        <f>Kosten!W21</f>
        <v>-323.6</v>
      </c>
      <c r="Z23" s="16">
        <f>Kosten!X21</f>
        <v>-323.6</v>
      </c>
      <c r="AA23" s="16">
        <f>Kosten!Y21</f>
        <v>-323.6</v>
      </c>
      <c r="AB23" s="16">
        <f>Kosten!Z21</f>
        <v>-323.6</v>
      </c>
      <c r="AD23" s="19">
        <f t="shared" si="18"/>
        <v>-3883.2</v>
      </c>
      <c r="AE23" s="16">
        <f>Kosten!AA21</f>
        <v>-323.6</v>
      </c>
      <c r="AF23" s="16">
        <f>Kosten!AB21</f>
        <v>-323.6</v>
      </c>
      <c r="AG23" s="16">
        <f>Kosten!AC21</f>
        <v>-323.6</v>
      </c>
      <c r="AH23" s="16">
        <f>Kosten!AD21</f>
        <v>-323.6</v>
      </c>
      <c r="AI23" s="16">
        <f>Kosten!AE21</f>
        <v>-323.6</v>
      </c>
      <c r="AJ23" s="16">
        <f>Kosten!AF21</f>
        <v>-323.6</v>
      </c>
      <c r="AK23" s="16">
        <f>Kosten!AG21</f>
        <v>-323.6</v>
      </c>
      <c r="AL23" s="16">
        <f>Kosten!AH21</f>
        <v>-323.6</v>
      </c>
      <c r="AM23" s="16">
        <f>Kosten!AI21</f>
        <v>-323.6</v>
      </c>
      <c r="AN23" s="16">
        <f>Kosten!AJ21</f>
        <v>-323.6</v>
      </c>
      <c r="AO23" s="16">
        <f>Kosten!AK21</f>
        <v>-323.6</v>
      </c>
      <c r="AP23" s="16">
        <f>Kosten!AL21</f>
        <v>-323.6</v>
      </c>
    </row>
    <row r="24">
      <c r="C24" s="18" t="str">
        <f>Kosten!B39</f>
        <v>Gründungskosten</v>
      </c>
      <c r="D24" s="19">
        <f t="shared" si="16"/>
        <v>-2671</v>
      </c>
      <c r="E24" s="16">
        <f>Kosten!E39</f>
        <v>-1671</v>
      </c>
      <c r="F24" s="16">
        <f>Kosten!F39</f>
        <v>-500</v>
      </c>
      <c r="G24" s="16">
        <f>Kosten!G39</f>
        <v>0</v>
      </c>
      <c r="H24" s="16">
        <f>Kosten!H39</f>
        <v>0</v>
      </c>
      <c r="I24" s="16">
        <f>Kosten!I39</f>
        <v>0</v>
      </c>
      <c r="J24" s="16">
        <f>Kosten!J39</f>
        <v>0</v>
      </c>
      <c r="K24" s="16">
        <f>Kosten!K39</f>
        <v>0</v>
      </c>
      <c r="L24" s="16">
        <f>Kosten!L39</f>
        <v>-500</v>
      </c>
      <c r="M24" s="16">
        <f>Kosten!M39</f>
        <v>0</v>
      </c>
      <c r="N24" s="16">
        <f>Kosten!N39</f>
        <v>0</v>
      </c>
      <c r="P24" s="6"/>
      <c r="Q24" s="16">
        <f>Kosten!O39</f>
        <v>0</v>
      </c>
      <c r="R24" s="16">
        <f>Kosten!P39</f>
        <v>0</v>
      </c>
      <c r="S24" s="16">
        <f>Kosten!Q39</f>
        <v>0</v>
      </c>
      <c r="T24" s="16">
        <f>Kosten!R39</f>
        <v>0</v>
      </c>
      <c r="U24" s="16">
        <f>Kosten!S39</f>
        <v>0</v>
      </c>
      <c r="V24" s="16">
        <f>Kosten!T39</f>
        <v>0</v>
      </c>
      <c r="W24" s="16">
        <f>Kosten!U39</f>
        <v>0</v>
      </c>
      <c r="X24" s="16">
        <f>Kosten!V39</f>
        <v>0</v>
      </c>
      <c r="Y24" s="16">
        <f>Kosten!W39</f>
        <v>0</v>
      </c>
      <c r="Z24" s="16">
        <f>Kosten!X39</f>
        <v>0</v>
      </c>
      <c r="AA24" s="16">
        <f>Kosten!Y39</f>
        <v>0</v>
      </c>
      <c r="AB24" s="16">
        <f>Kosten!Z39</f>
        <v>0</v>
      </c>
      <c r="AD24" s="6"/>
      <c r="AE24" s="16">
        <f>Kosten!AA39</f>
        <v>0</v>
      </c>
      <c r="AF24" s="16">
        <f>Kosten!AB39</f>
        <v>0</v>
      </c>
      <c r="AG24" s="16">
        <f>Kosten!AC39</f>
        <v>0</v>
      </c>
      <c r="AH24" s="16">
        <f>Kosten!AD39</f>
        <v>0</v>
      </c>
      <c r="AI24" s="16">
        <f>Kosten!AE39</f>
        <v>0</v>
      </c>
      <c r="AJ24" s="16">
        <f>Kosten!AF39</f>
        <v>0</v>
      </c>
      <c r="AK24" s="16">
        <f>Kosten!AG39</f>
        <v>0</v>
      </c>
      <c r="AL24" s="16">
        <f>Kosten!AH39</f>
        <v>0</v>
      </c>
      <c r="AM24" s="16">
        <f>Kosten!AI39</f>
        <v>0</v>
      </c>
      <c r="AN24" s="16">
        <f>Kosten!AJ39</f>
        <v>0</v>
      </c>
      <c r="AO24" s="16">
        <f>Kosten!AK39</f>
        <v>0</v>
      </c>
      <c r="AP24" s="16">
        <f>Kosten!AL39</f>
        <v>0</v>
      </c>
    </row>
    <row r="25">
      <c r="D25" s="6"/>
      <c r="P25" s="6"/>
      <c r="AD25" s="6"/>
    </row>
    <row r="26">
      <c r="A26" s="26" t="s">
        <v>15</v>
      </c>
      <c r="B26" s="11"/>
      <c r="C26" s="11"/>
      <c r="D26" s="17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4"/>
      <c r="P26" s="17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4"/>
      <c r="AD26" s="17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</row>
    <row r="27">
      <c r="B27" s="15" t="s">
        <v>16</v>
      </c>
      <c r="D27" s="19">
        <f>SUM(E27:N27)</f>
        <v>15000</v>
      </c>
      <c r="E27" s="16">
        <f>'Liquidität'!C7</f>
        <v>4000</v>
      </c>
      <c r="F27" s="16">
        <f>'Liquidität'!D7</f>
        <v>2000</v>
      </c>
      <c r="G27" s="16">
        <f>'Liquidität'!E7</f>
        <v>2000</v>
      </c>
      <c r="H27" s="16">
        <f>'Liquidität'!F7</f>
        <v>2000</v>
      </c>
      <c r="I27" s="16">
        <f>'Liquidität'!G7</f>
        <v>2000</v>
      </c>
      <c r="J27" s="16">
        <f>'Liquidität'!H7</f>
        <v>1000</v>
      </c>
      <c r="K27" s="16">
        <f>'Liquidität'!I7</f>
        <v>1000</v>
      </c>
      <c r="L27" s="16">
        <f>'Liquidität'!J7</f>
        <v>1000</v>
      </c>
      <c r="M27" s="16">
        <f>'Liquidität'!K7</f>
        <v>0</v>
      </c>
      <c r="N27" s="16">
        <f>'Liquidität'!L7</f>
        <v>0</v>
      </c>
      <c r="P27" s="19">
        <f>SUM(Q27:AB27)</f>
        <v>0</v>
      </c>
      <c r="Q27" s="16">
        <f>'Liquidität'!M7</f>
        <v>0</v>
      </c>
      <c r="R27" s="16">
        <f>'Liquidität'!N7</f>
        <v>0</v>
      </c>
      <c r="S27" s="16">
        <f>'Liquidität'!O7</f>
        <v>0</v>
      </c>
      <c r="T27" s="16">
        <f>'Liquidität'!P7</f>
        <v>0</v>
      </c>
      <c r="U27" s="16">
        <f>'Liquidität'!Q7</f>
        <v>0</v>
      </c>
      <c r="V27" s="16">
        <f>'Liquidität'!R7</f>
        <v>0</v>
      </c>
      <c r="W27" s="16">
        <f>'Liquidität'!S7</f>
        <v>0</v>
      </c>
      <c r="X27" s="16">
        <f>'Liquidität'!T7</f>
        <v>0</v>
      </c>
      <c r="Y27" s="16">
        <f>'Liquidität'!U7</f>
        <v>0</v>
      </c>
      <c r="Z27" s="16">
        <f>'Liquidität'!V7</f>
        <v>0</v>
      </c>
      <c r="AA27" s="16">
        <f>'Liquidität'!W7</f>
        <v>0</v>
      </c>
      <c r="AB27" s="16">
        <f>'Liquidität'!X7</f>
        <v>0</v>
      </c>
      <c r="AD27" s="19">
        <f>SUM(AE27:AP27)</f>
        <v>0</v>
      </c>
      <c r="AE27" s="16">
        <f>'Liquidität'!Y7</f>
        <v>0</v>
      </c>
      <c r="AF27" s="16">
        <f>'Liquidität'!Z7</f>
        <v>0</v>
      </c>
      <c r="AG27" s="16">
        <f>'Liquidität'!AA7</f>
        <v>0</v>
      </c>
      <c r="AH27" s="16">
        <f>'Liquidität'!AB7</f>
        <v>0</v>
      </c>
      <c r="AI27" s="16">
        <f>'Liquidität'!AC7</f>
        <v>0</v>
      </c>
      <c r="AJ27" s="16">
        <f>'Liquidität'!AD7</f>
        <v>0</v>
      </c>
      <c r="AK27" s="16">
        <f>'Liquidität'!AE7</f>
        <v>0</v>
      </c>
      <c r="AL27" s="16">
        <f>'Liquidität'!AF7</f>
        <v>0</v>
      </c>
      <c r="AM27" s="16">
        <f>'Liquidität'!AG7</f>
        <v>0</v>
      </c>
      <c r="AN27" s="16">
        <f>'Liquidität'!AH7</f>
        <v>0</v>
      </c>
      <c r="AO27" s="16">
        <f>'Liquidität'!AI7</f>
        <v>0</v>
      </c>
      <c r="AP27" s="16">
        <f>'Liquidität'!AJ7</f>
        <v>0</v>
      </c>
    </row>
    <row r="28">
      <c r="D28" s="1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9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9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>
      <c r="A29" s="26" t="s">
        <v>17</v>
      </c>
      <c r="B29" s="11"/>
      <c r="C29" s="11"/>
      <c r="D29" s="12">
        <f t="shared" ref="D29:D30" si="19">SUM(E29:N29)</f>
        <v>0</v>
      </c>
      <c r="E29" s="13">
        <f>'Rentabilität'!C14</f>
        <v>0</v>
      </c>
      <c r="F29" s="13">
        <f>'Rentabilität'!D14</f>
        <v>0</v>
      </c>
      <c r="G29" s="13">
        <f>'Rentabilität'!E14</f>
        <v>0</v>
      </c>
      <c r="H29" s="13">
        <f>'Rentabilität'!F14</f>
        <v>0</v>
      </c>
      <c r="I29" s="13">
        <f>'Rentabilität'!G14</f>
        <v>0</v>
      </c>
      <c r="J29" s="13">
        <f>'Rentabilität'!H14</f>
        <v>0</v>
      </c>
      <c r="K29" s="13">
        <f>'Rentabilität'!I14</f>
        <v>0</v>
      </c>
      <c r="L29" s="13">
        <f>'Rentabilität'!J14</f>
        <v>0</v>
      </c>
      <c r="M29" s="13">
        <f>'Rentabilität'!K14</f>
        <v>0</v>
      </c>
      <c r="N29" s="13">
        <f>'Rentabilität'!L14</f>
        <v>0</v>
      </c>
      <c r="O29" s="14"/>
      <c r="P29" s="12">
        <f t="shared" ref="P29:P30" si="20">SUM(Q29:AB29)</f>
        <v>-32561.73714</v>
      </c>
      <c r="Q29" s="13">
        <f>'Rentabilität'!M14</f>
        <v>0</v>
      </c>
      <c r="R29" s="13">
        <f>'Rentabilität'!N14</f>
        <v>0</v>
      </c>
      <c r="S29" s="13">
        <f>'Rentabilität'!O14</f>
        <v>-592.0315844</v>
      </c>
      <c r="T29" s="13">
        <f>'Rentabilität'!P14</f>
        <v>-1184.063169</v>
      </c>
      <c r="U29" s="13">
        <f>'Rentabilität'!Q14</f>
        <v>-1776.094753</v>
      </c>
      <c r="V29" s="13">
        <f>'Rentabilität'!R14</f>
        <v>-2368.126338</v>
      </c>
      <c r="W29" s="13">
        <f>'Rentabilität'!S14</f>
        <v>-2960.157922</v>
      </c>
      <c r="X29" s="13">
        <f>'Rentabilität'!T14</f>
        <v>-3552.189506</v>
      </c>
      <c r="Y29" s="13">
        <f>'Rentabilität'!U14</f>
        <v>-4144.221091</v>
      </c>
      <c r="Z29" s="13">
        <f>'Rentabilität'!V14</f>
        <v>-4736.252675</v>
      </c>
      <c r="AA29" s="13">
        <f>'Rentabilität'!W14</f>
        <v>-5328.28426</v>
      </c>
      <c r="AB29" s="13">
        <f>'Rentabilität'!X14</f>
        <v>-5920.315844</v>
      </c>
      <c r="AC29" s="14"/>
      <c r="AD29" s="12">
        <f t="shared" ref="AD29:AD30" si="21">SUM(AE29:AP29)</f>
        <v>-83764.95286</v>
      </c>
      <c r="AE29" s="13">
        <f>'Rentabilität'!Y14</f>
        <v>-6980.412738</v>
      </c>
      <c r="AF29" s="13">
        <f>'Rentabilität'!Z14</f>
        <v>-6980.412738</v>
      </c>
      <c r="AG29" s="13">
        <f>'Rentabilität'!AA14</f>
        <v>-6980.412738</v>
      </c>
      <c r="AH29" s="13">
        <f>'Rentabilität'!AB14</f>
        <v>-6980.412738</v>
      </c>
      <c r="AI29" s="13">
        <f>'Rentabilität'!AC14</f>
        <v>-6980.412738</v>
      </c>
      <c r="AJ29" s="13">
        <f>'Rentabilität'!AD14</f>
        <v>-6980.412738</v>
      </c>
      <c r="AK29" s="13">
        <f>'Rentabilität'!AE14</f>
        <v>-6980.412738</v>
      </c>
      <c r="AL29" s="13">
        <f>'Rentabilität'!AF14</f>
        <v>-6980.412738</v>
      </c>
      <c r="AM29" s="13">
        <f>'Rentabilität'!AG14</f>
        <v>-6980.412738</v>
      </c>
      <c r="AN29" s="13">
        <f>'Rentabilität'!AH14</f>
        <v>-6980.412738</v>
      </c>
      <c r="AO29" s="13">
        <f>'Rentabilität'!AI14</f>
        <v>-6980.412738</v>
      </c>
      <c r="AP29" s="13">
        <f>'Rentabilität'!AJ14</f>
        <v>-6980.412738</v>
      </c>
    </row>
    <row r="30">
      <c r="B30" s="15" t="s">
        <v>18</v>
      </c>
      <c r="D30" s="19">
        <f t="shared" si="19"/>
        <v>0</v>
      </c>
      <c r="E30" s="16">
        <f>'Rentabilität'!C14</f>
        <v>0</v>
      </c>
      <c r="F30" s="16">
        <f>'Rentabilität'!D14</f>
        <v>0</v>
      </c>
      <c r="G30" s="16">
        <f>'Rentabilität'!E14</f>
        <v>0</v>
      </c>
      <c r="H30" s="16">
        <f>'Rentabilität'!F14</f>
        <v>0</v>
      </c>
      <c r="I30" s="16">
        <f>'Rentabilität'!G14</f>
        <v>0</v>
      </c>
      <c r="J30" s="16">
        <f>'Rentabilität'!H14</f>
        <v>0</v>
      </c>
      <c r="K30" s="16">
        <f>'Rentabilität'!I14</f>
        <v>0</v>
      </c>
      <c r="L30" s="16">
        <f>'Rentabilität'!J14</f>
        <v>0</v>
      </c>
      <c r="M30" s="16">
        <f>'Rentabilität'!K14</f>
        <v>0</v>
      </c>
      <c r="N30" s="16">
        <f>'Rentabilität'!L14</f>
        <v>0</v>
      </c>
      <c r="P30" s="19">
        <f t="shared" si="20"/>
        <v>-32561.73714</v>
      </c>
      <c r="Q30" s="16">
        <f>'Rentabilität'!M14</f>
        <v>0</v>
      </c>
      <c r="R30" s="16">
        <f>'Rentabilität'!N14</f>
        <v>0</v>
      </c>
      <c r="S30" s="16">
        <f>'Rentabilität'!O14</f>
        <v>-592.0315844</v>
      </c>
      <c r="T30" s="16">
        <f>'Rentabilität'!P14</f>
        <v>-1184.063169</v>
      </c>
      <c r="U30" s="16">
        <f>'Rentabilität'!Q14</f>
        <v>-1776.094753</v>
      </c>
      <c r="V30" s="16">
        <f>'Rentabilität'!R14</f>
        <v>-2368.126338</v>
      </c>
      <c r="W30" s="16">
        <f>'Rentabilität'!S14</f>
        <v>-2960.157922</v>
      </c>
      <c r="X30" s="16">
        <f>'Rentabilität'!T14</f>
        <v>-3552.189506</v>
      </c>
      <c r="Y30" s="16">
        <f>'Rentabilität'!U14</f>
        <v>-4144.221091</v>
      </c>
      <c r="Z30" s="16">
        <f>'Rentabilität'!V14</f>
        <v>-4736.252675</v>
      </c>
      <c r="AA30" s="16">
        <f>'Rentabilität'!W14</f>
        <v>-5328.28426</v>
      </c>
      <c r="AB30" s="16">
        <f>'Rentabilität'!X14</f>
        <v>-5920.315844</v>
      </c>
      <c r="AD30" s="19">
        <f t="shared" si="21"/>
        <v>-83764.95286</v>
      </c>
      <c r="AE30" s="16">
        <f>'Rentabilität'!Y14</f>
        <v>-6980.412738</v>
      </c>
      <c r="AF30" s="16">
        <f>'Rentabilität'!Z14</f>
        <v>-6980.412738</v>
      </c>
      <c r="AG30" s="16">
        <f>'Rentabilität'!AA14</f>
        <v>-6980.412738</v>
      </c>
      <c r="AH30" s="16">
        <f>'Rentabilität'!AB14</f>
        <v>-6980.412738</v>
      </c>
      <c r="AI30" s="16">
        <f>'Rentabilität'!AC14</f>
        <v>-6980.412738</v>
      </c>
      <c r="AJ30" s="16">
        <f>'Rentabilität'!AD14</f>
        <v>-6980.412738</v>
      </c>
      <c r="AK30" s="16">
        <f>'Rentabilität'!AE14</f>
        <v>-6980.412738</v>
      </c>
      <c r="AL30" s="16">
        <f>'Rentabilität'!AF14</f>
        <v>-6980.412738</v>
      </c>
      <c r="AM30" s="16">
        <f>'Rentabilität'!AG14</f>
        <v>-6980.412738</v>
      </c>
      <c r="AN30" s="16">
        <f>'Rentabilität'!AH14</f>
        <v>-6980.412738</v>
      </c>
      <c r="AO30" s="16">
        <f>'Rentabilität'!AI14</f>
        <v>-6980.412738</v>
      </c>
      <c r="AP30" s="16">
        <f>'Rentabilität'!AJ14</f>
        <v>-6980.412738</v>
      </c>
    </row>
    <row r="31">
      <c r="D31" s="6"/>
      <c r="P31" s="6"/>
      <c r="AD31" s="6"/>
    </row>
    <row r="32">
      <c r="A32" s="26" t="s">
        <v>19</v>
      </c>
      <c r="B32" s="11"/>
      <c r="C32" s="11"/>
      <c r="D32" s="27" t="s">
        <v>10</v>
      </c>
      <c r="E32" s="13">
        <f>'Liquidität'!C26</f>
        <v>1157.7</v>
      </c>
      <c r="F32" s="13">
        <f>'Liquidität'!D26</f>
        <v>1490.6</v>
      </c>
      <c r="G32" s="13">
        <f>'Liquidität'!E26</f>
        <v>2321.7</v>
      </c>
      <c r="H32" s="13">
        <f>'Liquidität'!F26</f>
        <v>3040.2</v>
      </c>
      <c r="I32" s="13">
        <f>'Liquidität'!G26</f>
        <v>3861.5</v>
      </c>
      <c r="J32" s="13">
        <f>'Liquidität'!H26</f>
        <v>3776.48</v>
      </c>
      <c r="K32" s="13">
        <f>'Liquidität'!I26</f>
        <v>3631.34</v>
      </c>
      <c r="L32" s="13">
        <f>'Liquidität'!J26</f>
        <v>3177.08</v>
      </c>
      <c r="M32" s="13">
        <f>'Liquidität'!K26</f>
        <v>2633.78</v>
      </c>
      <c r="N32" s="13">
        <f>'Liquidität'!L26</f>
        <v>2377.24</v>
      </c>
      <c r="O32" s="1"/>
      <c r="P32" s="27" t="s">
        <v>10</v>
      </c>
      <c r="Q32" s="13">
        <f>'Liquidität'!M26</f>
        <v>2575.34</v>
      </c>
      <c r="R32" s="13">
        <f>'Liquidität'!N26</f>
        <v>3161.68</v>
      </c>
      <c r="S32" s="13">
        <f>'Liquidität'!O26</f>
        <v>2975.308416</v>
      </c>
      <c r="T32" s="13">
        <f>'Liquidität'!P26</f>
        <v>2895.825247</v>
      </c>
      <c r="U32" s="13">
        <f>'Liquidität'!Q26</f>
        <v>3443.310494</v>
      </c>
      <c r="V32" s="13">
        <f>'Liquidität'!R26</f>
        <v>3980.164156</v>
      </c>
      <c r="W32" s="13">
        <f>'Liquidität'!S26</f>
        <v>4684.066234</v>
      </c>
      <c r="X32" s="13">
        <f>'Liquidität'!T26</f>
        <v>5632.616727</v>
      </c>
      <c r="Y32" s="13">
        <f>'Liquidität'!U26</f>
        <v>6799.895636</v>
      </c>
      <c r="Z32" s="13">
        <f>'Liquidität'!V26</f>
        <v>8262.982961</v>
      </c>
      <c r="AA32" s="13">
        <f>'Liquidität'!W26</f>
        <v>10111.4787</v>
      </c>
      <c r="AB32" s="13">
        <f>'Liquidität'!X26</f>
        <v>12357.66286</v>
      </c>
      <c r="AC32" s="1"/>
      <c r="AD32" s="27" t="s">
        <v>10</v>
      </c>
      <c r="AE32" s="13">
        <f>'Liquidität'!Y26</f>
        <v>14570.55012</v>
      </c>
      <c r="AF32" s="13">
        <f>'Liquidität'!Z26</f>
        <v>18019.31738</v>
      </c>
      <c r="AG32" s="13">
        <f>'Liquidität'!AA26</f>
        <v>22545.04464</v>
      </c>
      <c r="AH32" s="13">
        <f>'Liquidität'!AB26</f>
        <v>28121.2119</v>
      </c>
      <c r="AI32" s="13">
        <f>'Liquidität'!AC26</f>
        <v>35657.89917</v>
      </c>
      <c r="AJ32" s="13">
        <f>'Liquidität'!AD26</f>
        <v>44499.38643</v>
      </c>
      <c r="AK32" s="13">
        <f>'Liquidität'!AE26</f>
        <v>54959.95369</v>
      </c>
      <c r="AL32" s="13">
        <f>'Liquidität'!AF26</f>
        <v>67045.88095</v>
      </c>
      <c r="AM32" s="13">
        <f>'Liquidität'!AG26</f>
        <v>80834.44821</v>
      </c>
      <c r="AN32" s="13">
        <f>'Liquidität'!AH26</f>
        <v>96411.13548</v>
      </c>
      <c r="AO32" s="13">
        <f>'Liquidität'!AI26</f>
        <v>113996.7027</v>
      </c>
      <c r="AP32" s="13">
        <f>'Liquidität'!AJ26</f>
        <v>133512.63</v>
      </c>
    </row>
    <row r="33">
      <c r="D33" s="6"/>
      <c r="P33" s="6"/>
      <c r="AD33" s="6"/>
    </row>
    <row r="34">
      <c r="A34" s="26" t="s">
        <v>20</v>
      </c>
      <c r="B34" s="28"/>
      <c r="C34" s="28"/>
      <c r="D34" s="12">
        <f>SUM(E34:N34)</f>
        <v>-13513.76</v>
      </c>
      <c r="E34" s="29">
        <f>'Rentabilität'!C16</f>
        <v>-2842.3</v>
      </c>
      <c r="F34" s="29">
        <f>'Rentabilität'!D16</f>
        <v>-1667.1</v>
      </c>
      <c r="G34" s="29">
        <f>'Rentabilität'!E16</f>
        <v>-1168.9</v>
      </c>
      <c r="H34" s="29">
        <f>'Rentabilität'!F16</f>
        <v>-1281.5</v>
      </c>
      <c r="I34" s="29">
        <f>'Rentabilität'!G16</f>
        <v>-1178.7</v>
      </c>
      <c r="J34" s="29">
        <f>'Rentabilität'!H16</f>
        <v>-1233.52</v>
      </c>
      <c r="K34" s="29">
        <f>'Rentabilität'!I16</f>
        <v>-1280.14</v>
      </c>
      <c r="L34" s="29">
        <f>'Rentabilität'!J16</f>
        <v>-1575.76</v>
      </c>
      <c r="M34" s="29">
        <f>'Rentabilität'!K16</f>
        <v>-799.8</v>
      </c>
      <c r="N34" s="29">
        <f>'Rentabilität'!L16</f>
        <v>-486.04</v>
      </c>
      <c r="O34" s="14"/>
      <c r="P34" s="12">
        <f>SUM(Q34:AB34)</f>
        <v>3864.922857</v>
      </c>
      <c r="Q34" s="29">
        <f>'Rentabilität'!M16</f>
        <v>-152.9</v>
      </c>
      <c r="R34" s="29">
        <f>'Rentabilität'!N16</f>
        <v>275.84</v>
      </c>
      <c r="S34" s="29">
        <f>'Rentabilität'!O16</f>
        <v>-604.8715844</v>
      </c>
      <c r="T34" s="29">
        <f>'Rentabilität'!P16</f>
        <v>-443.9831688</v>
      </c>
      <c r="U34" s="29">
        <f>'Rentabilität'!Q16</f>
        <v>88.48524675</v>
      </c>
      <c r="V34" s="29">
        <f>'Rentabilität'!R16</f>
        <v>145.3536623</v>
      </c>
      <c r="W34" s="29">
        <f>'Rentabilität'!S16</f>
        <v>231.4020779</v>
      </c>
      <c r="X34" s="29">
        <f>'Rentabilität'!T16</f>
        <v>395.0504935</v>
      </c>
      <c r="Y34" s="29">
        <f>'Rentabilität'!U16</f>
        <v>546.2789091</v>
      </c>
      <c r="Z34" s="29">
        <f>'Rentabilität'!V16</f>
        <v>788.0873247</v>
      </c>
      <c r="AA34" s="29">
        <f>'Rentabilität'!W16</f>
        <v>1119.49574</v>
      </c>
      <c r="AB34" s="29">
        <f>'Rentabilität'!X16</f>
        <v>1476.684156</v>
      </c>
      <c r="AC34" s="14"/>
      <c r="AD34" s="12">
        <f>SUM(AE34:AP34)</f>
        <v>105130.4671</v>
      </c>
      <c r="AE34" s="29">
        <f>'Rentabilität'!Y16</f>
        <v>1254.387262</v>
      </c>
      <c r="AF34" s="29">
        <f>'Rentabilität'!Z16</f>
        <v>2476.767262</v>
      </c>
      <c r="AG34" s="29">
        <f>'Rentabilität'!AA16</f>
        <v>3391.727262</v>
      </c>
      <c r="AH34" s="29">
        <f>'Rentabilität'!AB16</f>
        <v>4455.667262</v>
      </c>
      <c r="AI34" s="29">
        <f>'Rentabilität'!AC16</f>
        <v>6281.187262</v>
      </c>
      <c r="AJ34" s="29">
        <f>'Rentabilität'!AD16</f>
        <v>7626.487262</v>
      </c>
      <c r="AK34" s="29">
        <f>'Rentabilität'!AE16</f>
        <v>9137.567262</v>
      </c>
      <c r="AL34" s="29">
        <f>'Rentabilität'!AF16</f>
        <v>10668.42726</v>
      </c>
      <c r="AM34" s="29">
        <f>'Rentabilität'!AG16</f>
        <v>12290.06726</v>
      </c>
      <c r="AN34" s="29">
        <f>'Rentabilität'!AH16</f>
        <v>14010.68726</v>
      </c>
      <c r="AO34" s="29">
        <f>'Rentabilität'!AI16</f>
        <v>15817.06726</v>
      </c>
      <c r="AP34" s="29">
        <f>'Rentabilität'!AJ16</f>
        <v>17720.42726</v>
      </c>
    </row>
    <row r="35">
      <c r="D35" s="6"/>
      <c r="P35" s="6"/>
      <c r="AD35" s="6"/>
    </row>
    <row r="36">
      <c r="A36" s="26" t="s">
        <v>21</v>
      </c>
      <c r="B36" s="28"/>
      <c r="C36" s="28"/>
      <c r="D36" s="30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31"/>
      <c r="P36" s="30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31"/>
      <c r="AD36" s="30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</row>
    <row r="37">
      <c r="D37" s="6"/>
      <c r="P37" s="6"/>
      <c r="AD37" s="6"/>
    </row>
    <row r="38">
      <c r="B38" s="15" t="s">
        <v>22</v>
      </c>
      <c r="D38" s="19">
        <f>AVERAGE(E38:N38)</f>
        <v>7.038992517</v>
      </c>
      <c r="E38" s="32">
        <f t="shared" ref="E38:N38" si="22">(E4+E16)/E9</f>
        <v>4.2</v>
      </c>
      <c r="F38" s="32">
        <f t="shared" si="22"/>
        <v>4.2</v>
      </c>
      <c r="G38" s="32">
        <f t="shared" si="22"/>
        <v>2.2</v>
      </c>
      <c r="H38" s="32">
        <f t="shared" si="22"/>
        <v>-1.4</v>
      </c>
      <c r="I38" s="32">
        <f t="shared" si="22"/>
        <v>10.52727273</v>
      </c>
      <c r="J38" s="32">
        <f t="shared" si="22"/>
        <v>8.943333333</v>
      </c>
      <c r="K38" s="32">
        <f t="shared" si="22"/>
        <v>8.26125</v>
      </c>
      <c r="L38" s="32">
        <f t="shared" si="22"/>
        <v>9.973191489</v>
      </c>
      <c r="M38" s="32">
        <f t="shared" si="22"/>
        <v>11.45692308</v>
      </c>
      <c r="N38" s="32">
        <f t="shared" si="22"/>
        <v>12.02795455</v>
      </c>
      <c r="O38" s="16"/>
      <c r="P38" s="19">
        <f>AVERAGE(Q38:Z38)</f>
        <v>13.63656623</v>
      </c>
      <c r="Q38" s="32">
        <f t="shared" ref="Q38:AB38" si="23">(Q4+Q16)/Q9</f>
        <v>12.31504425</v>
      </c>
      <c r="R38" s="32">
        <f t="shared" si="23"/>
        <v>12.81929577</v>
      </c>
      <c r="S38" s="32">
        <f t="shared" si="23"/>
        <v>12.94632184</v>
      </c>
      <c r="T38" s="32">
        <f t="shared" si="23"/>
        <v>13.25990476</v>
      </c>
      <c r="U38" s="32">
        <f t="shared" si="23"/>
        <v>13.63632</v>
      </c>
      <c r="V38" s="32">
        <f t="shared" si="23"/>
        <v>13.89719178</v>
      </c>
      <c r="W38" s="32">
        <f t="shared" si="23"/>
        <v>14.13749254</v>
      </c>
      <c r="X38" s="32">
        <f t="shared" si="23"/>
        <v>14.37628272</v>
      </c>
      <c r="Y38" s="32">
        <f t="shared" si="23"/>
        <v>14.43287037</v>
      </c>
      <c r="Z38" s="32">
        <f t="shared" si="23"/>
        <v>14.54493827</v>
      </c>
      <c r="AA38" s="32">
        <f t="shared" si="23"/>
        <v>14.69169118</v>
      </c>
      <c r="AB38" s="32">
        <f t="shared" si="23"/>
        <v>14.7549505</v>
      </c>
      <c r="AC38" s="16"/>
      <c r="AD38" s="19">
        <f>AVERAGE(AE38:AN38)</f>
        <v>15.15558835</v>
      </c>
      <c r="AE38" s="32">
        <f t="shared" ref="AE38:AP38" si="24">(AE4+AE16)/AE9</f>
        <v>14.85014881</v>
      </c>
      <c r="AF38" s="32">
        <f t="shared" si="24"/>
        <v>14.96183288</v>
      </c>
      <c r="AG38" s="32">
        <f t="shared" si="24"/>
        <v>15.0155092</v>
      </c>
      <c r="AH38" s="32">
        <f t="shared" si="24"/>
        <v>15.07894855</v>
      </c>
      <c r="AI38" s="32">
        <f t="shared" si="24"/>
        <v>15.15465711</v>
      </c>
      <c r="AJ38" s="32">
        <f t="shared" si="24"/>
        <v>15.17988722</v>
      </c>
      <c r="AK38" s="32">
        <f t="shared" si="24"/>
        <v>15.26575627</v>
      </c>
      <c r="AL38" s="32">
        <f t="shared" si="24"/>
        <v>15.30569378</v>
      </c>
      <c r="AM38" s="32">
        <f t="shared" si="24"/>
        <v>15.35028024</v>
      </c>
      <c r="AN38" s="32">
        <f t="shared" si="24"/>
        <v>15.3931694</v>
      </c>
      <c r="AO38" s="32">
        <f t="shared" si="24"/>
        <v>15.4356246</v>
      </c>
      <c r="AP38" s="32">
        <f t="shared" si="24"/>
        <v>15.4748467</v>
      </c>
    </row>
    <row r="39">
      <c r="D39" s="6"/>
      <c r="P39" s="6"/>
      <c r="AD39" s="6"/>
    </row>
    <row r="40">
      <c r="B40" s="15" t="s">
        <v>23</v>
      </c>
      <c r="D40" s="22">
        <f>AVERAGE(E40:N40)</f>
        <v>0.2700111645</v>
      </c>
      <c r="E40" s="21">
        <f>'Rentabilität'!C19</f>
        <v>0.28</v>
      </c>
      <c r="F40" s="21">
        <f>'Rentabilität'!D19</f>
        <v>0.28</v>
      </c>
      <c r="G40" s="21">
        <f>'Rentabilität'!E19</f>
        <v>0.1466666667</v>
      </c>
      <c r="H40" s="21">
        <f>'Rentabilität'!F19</f>
        <v>-0.09333333333</v>
      </c>
      <c r="I40" s="21">
        <f>'Rentabilität'!G19</f>
        <v>0.3456716418</v>
      </c>
      <c r="J40" s="21">
        <f>'Rentabilität'!H19</f>
        <v>0.3075071633</v>
      </c>
      <c r="K40" s="21">
        <f>'Rentabilität'!I19</f>
        <v>0.2930820399</v>
      </c>
      <c r="L40" s="21">
        <f>'Rentabilität'!J19</f>
        <v>0.3395436436</v>
      </c>
      <c r="M40" s="21">
        <f>'Rentabilität'!K19</f>
        <v>0.3914323259</v>
      </c>
      <c r="N40" s="21">
        <f>'Rentabilität'!L19</f>
        <v>0.4095414974</v>
      </c>
      <c r="O40" s="21"/>
      <c r="P40" s="22">
        <f t="shared" ref="P40:P42" si="25">AVERAGE(Q40:Z40)</f>
        <v>0.4690567815</v>
      </c>
      <c r="Q40" s="21">
        <f>'Rentabilität'!M19</f>
        <v>0.4223368741</v>
      </c>
      <c r="R40" s="21">
        <f>'Rentabilität'!N19</f>
        <v>0.4385833032</v>
      </c>
      <c r="S40" s="21">
        <f>'Rentabilität'!O19</f>
        <v>0.446115457</v>
      </c>
      <c r="T40" s="21">
        <f>'Rentabilität'!P19</f>
        <v>0.4569754657</v>
      </c>
      <c r="U40" s="21">
        <f>'Rentabilität'!Q19</f>
        <v>0.4682159044</v>
      </c>
      <c r="V40" s="21">
        <f>'Rentabilität'!R19</f>
        <v>0.4774936754</v>
      </c>
      <c r="W40" s="21">
        <f>'Rentabilität'!S19</f>
        <v>0.4867732155</v>
      </c>
      <c r="X40" s="21">
        <f>'Rentabilität'!T19</f>
        <v>0.4945063257</v>
      </c>
      <c r="Y40" s="21">
        <f>'Rentabilität'!U19</f>
        <v>0.4978043912</v>
      </c>
      <c r="Z40" s="21">
        <f>'Rentabilität'!V19</f>
        <v>0.5017632027</v>
      </c>
      <c r="AA40" s="21">
        <f>'Rentabilität'!W19</f>
        <v>0.5059685996</v>
      </c>
      <c r="AB40" s="21">
        <f>'Rentabilität'!X19</f>
        <v>0.5091245552</v>
      </c>
      <c r="AC40" s="21"/>
      <c r="AD40" s="22">
        <f t="shared" ref="AD40:AD42" si="26">AVERAGE(AE40:AN40)</f>
        <v>0.5232667344</v>
      </c>
      <c r="AE40" s="21">
        <f>'Rentabilität'!Y19</f>
        <v>0.512481705</v>
      </c>
      <c r="AF40" s="21">
        <f>'Rentabilität'!Z19</f>
        <v>0.5157335315</v>
      </c>
      <c r="AG40" s="21">
        <f>'Rentabilität'!AA19</f>
        <v>0.5180391991</v>
      </c>
      <c r="AH40" s="21">
        <f>'Rentabilität'!AB19</f>
        <v>0.5206163709</v>
      </c>
      <c r="AI40" s="21">
        <f>'Rentabilität'!AC19</f>
        <v>0.5230451294</v>
      </c>
      <c r="AJ40" s="21">
        <f>'Rentabilität'!AD19</f>
        <v>0.5247368421</v>
      </c>
      <c r="AK40" s="21">
        <f>'Rentabilität'!AE19</f>
        <v>0.5270651428</v>
      </c>
      <c r="AL40" s="21">
        <f>'Rentabilität'!AF19</f>
        <v>0.5287348659</v>
      </c>
      <c r="AM40" s="21">
        <f>'Rentabilität'!AG19</f>
        <v>0.5303382295</v>
      </c>
      <c r="AN40" s="21">
        <f>'Rentabilität'!AH19</f>
        <v>0.5318763276</v>
      </c>
      <c r="AO40" s="21">
        <f>'Rentabilität'!AI19</f>
        <v>0.53324819</v>
      </c>
      <c r="AP40" s="21">
        <f>'Rentabilität'!AJ19</f>
        <v>0.5345228664</v>
      </c>
    </row>
    <row r="41">
      <c r="B41" s="15" t="s">
        <v>24</v>
      </c>
      <c r="D41" s="20" t="s">
        <v>10</v>
      </c>
      <c r="E41" s="21">
        <f>'Rentabilität'!C20</f>
        <v>189.7666667</v>
      </c>
      <c r="F41" s="21">
        <f>'Rentabilität'!D20</f>
        <v>55.85</v>
      </c>
      <c r="G41" s="21">
        <f>'Rentabilität'!E20</f>
        <v>26.12222222</v>
      </c>
      <c r="H41" s="21">
        <f>'Rentabilität'!F20</f>
        <v>16.99333333</v>
      </c>
      <c r="I41" s="21">
        <f>'Rentabilität'!G20</f>
        <v>3.864179104</v>
      </c>
      <c r="J41" s="21">
        <f>'Rentabilität'!H20</f>
        <v>2.663801337</v>
      </c>
      <c r="K41" s="21">
        <f>'Rentabilität'!I20</f>
        <v>1.712305987</v>
      </c>
      <c r="L41" s="21">
        <f>'Rentabilität'!J20</f>
        <v>1.48098515</v>
      </c>
      <c r="M41" s="21">
        <f>'Rentabilität'!K20</f>
        <v>0.811826544</v>
      </c>
      <c r="N41" s="21">
        <f>'Rentabilität'!L20</f>
        <v>0.5976010834</v>
      </c>
      <c r="O41" s="21"/>
      <c r="P41" s="22">
        <f t="shared" si="25"/>
        <v>0.2549674449</v>
      </c>
      <c r="Q41" s="21">
        <f>'Rentabilität'!M20</f>
        <v>0.4687405159</v>
      </c>
      <c r="R41" s="21">
        <f>'Rentabilität'!N20</f>
        <v>0.3721238405</v>
      </c>
      <c r="S41" s="21">
        <f>'Rentabilität'!O20</f>
        <v>0.448658283</v>
      </c>
      <c r="T41" s="21">
        <f>'Rentabilität'!P20</f>
        <v>0.3355214573</v>
      </c>
      <c r="U41" s="21">
        <f>'Rentabilität'!Q20</f>
        <v>0.212127455</v>
      </c>
      <c r="V41" s="21">
        <f>'Rentabilität'!R20</f>
        <v>0.1817379538</v>
      </c>
      <c r="W41" s="21">
        <f>'Rentabilität'!S20</f>
        <v>0.1587440259</v>
      </c>
      <c r="X41" s="21">
        <f>'Rentabilität'!T20</f>
        <v>0.139075233</v>
      </c>
      <c r="Y41" s="21">
        <f>'Rentabilität'!U20</f>
        <v>0.1233133733</v>
      </c>
      <c r="Z41" s="21">
        <f>'Rentabilität'!V20</f>
        <v>0.1096323112</v>
      </c>
      <c r="AA41" s="21">
        <f>'Rentabilität'!W20</f>
        <v>0.09777791846</v>
      </c>
      <c r="AB41" s="21">
        <f>'Rentabilität'!X20</f>
        <v>0.0879430605</v>
      </c>
      <c r="AC41" s="21"/>
      <c r="AD41" s="22">
        <f t="shared" si="26"/>
        <v>0.05930932222</v>
      </c>
      <c r="AE41" s="21">
        <f>'Rentabilität'!Y20</f>
        <v>0.08958788034</v>
      </c>
      <c r="AF41" s="21">
        <f>'Rentabilität'!Z20</f>
        <v>0.07639598625</v>
      </c>
      <c r="AG41" s="21">
        <f>'Rentabilität'!AA20</f>
        <v>0.07896964822</v>
      </c>
      <c r="AH41" s="21">
        <f>'Rentabilität'!AB20</f>
        <v>0.07895803966</v>
      </c>
      <c r="AI41" s="21">
        <f>'Rentabilität'!AC20</f>
        <v>0.05456151197</v>
      </c>
      <c r="AJ41" s="21">
        <f>'Rentabilität'!AD20</f>
        <v>0.05017868746</v>
      </c>
      <c r="AK41" s="21">
        <f>'Rentabilität'!AE20</f>
        <v>0.0460893438</v>
      </c>
      <c r="AL41" s="21">
        <f>'Rentabilität'!AF20</f>
        <v>0.04254762331</v>
      </c>
      <c r="AM41" s="21">
        <f>'Rentabilität'!AG20</f>
        <v>0.03935182236</v>
      </c>
      <c r="AN41" s="21">
        <f>'Rentabilität'!AH20</f>
        <v>0.03645267878</v>
      </c>
      <c r="AO41" s="21">
        <f>'Rentabilität'!AI20</f>
        <v>0.03383462764</v>
      </c>
      <c r="AP41" s="21">
        <f>'Rentabilität'!AJ20</f>
        <v>0.03145589149</v>
      </c>
    </row>
    <row r="42">
      <c r="B42" s="15" t="s">
        <v>25</v>
      </c>
      <c r="D42" s="20" t="s">
        <v>10</v>
      </c>
      <c r="E42" s="21">
        <f>'Rentabilität'!C21</f>
        <v>-189.4866667</v>
      </c>
      <c r="F42" s="21">
        <f>'Rentabilität'!D21</f>
        <v>-55.57</v>
      </c>
      <c r="G42" s="21">
        <f>'Rentabilität'!E21</f>
        <v>-25.97555556</v>
      </c>
      <c r="H42" s="21">
        <f>'Rentabilität'!F21</f>
        <v>-17.08666667</v>
      </c>
      <c r="I42" s="21">
        <f>'Rentabilität'!G21</f>
        <v>-3.518507463</v>
      </c>
      <c r="J42" s="21">
        <f>'Rentabilität'!H21</f>
        <v>-2.356294174</v>
      </c>
      <c r="K42" s="21">
        <f>'Rentabilität'!I21</f>
        <v>-1.419223947</v>
      </c>
      <c r="L42" s="21">
        <f>'Rentabilität'!J21</f>
        <v>-1.141441507</v>
      </c>
      <c r="M42" s="21">
        <f>'Rentabilität'!K21</f>
        <v>-0.4203942181</v>
      </c>
      <c r="N42" s="21">
        <f>'Rentabilität'!L21</f>
        <v>-0.188059586</v>
      </c>
      <c r="O42" s="21"/>
      <c r="P42" s="22">
        <f t="shared" si="25"/>
        <v>0.2140893366</v>
      </c>
      <c r="Q42" s="21">
        <f>'Rentabilität'!M21</f>
        <v>-0.04640364188</v>
      </c>
      <c r="R42" s="21">
        <f>'Rentabilität'!N21</f>
        <v>0.06645946272</v>
      </c>
      <c r="S42" s="21">
        <f>'Rentabilität'!O21</f>
        <v>-0.002542826022</v>
      </c>
      <c r="T42" s="21">
        <f>'Rentabilität'!P21</f>
        <v>0.1214540084</v>
      </c>
      <c r="U42" s="21">
        <f>'Rentabilität'!Q21</f>
        <v>0.2560884494</v>
      </c>
      <c r="V42" s="21">
        <f>'Rentabilität'!R21</f>
        <v>0.2957557216</v>
      </c>
      <c r="W42" s="21">
        <f>'Rentabilität'!S21</f>
        <v>0.3280291896</v>
      </c>
      <c r="X42" s="21">
        <f>'Rentabilität'!T21</f>
        <v>0.3554310927</v>
      </c>
      <c r="Y42" s="21">
        <f>'Rentabilität'!U21</f>
        <v>0.374491018</v>
      </c>
      <c r="Z42" s="21">
        <f>'Rentabilität'!V21</f>
        <v>0.3921308915</v>
      </c>
      <c r="AA42" s="21">
        <f>'Rentabilität'!W21</f>
        <v>0.4081906812</v>
      </c>
      <c r="AB42" s="21">
        <f>'Rentabilität'!X21</f>
        <v>0.4211814947</v>
      </c>
      <c r="AC42" s="21"/>
      <c r="AD42" s="22">
        <f t="shared" si="26"/>
        <v>0.4639574122</v>
      </c>
      <c r="AE42" s="21">
        <f>'Rentabilität'!Y21</f>
        <v>0.4228938246</v>
      </c>
      <c r="AF42" s="21">
        <f>'Rentabilität'!Z21</f>
        <v>0.4393375453</v>
      </c>
      <c r="AG42" s="21">
        <f>'Rentabilität'!AA21</f>
        <v>0.4390695509</v>
      </c>
      <c r="AH42" s="21">
        <f>'Rentabilität'!AB21</f>
        <v>0.4416583312</v>
      </c>
      <c r="AI42" s="21">
        <f>'Rentabilität'!AC21</f>
        <v>0.4684836174</v>
      </c>
      <c r="AJ42" s="21">
        <f>'Rentabilität'!AD21</f>
        <v>0.4745581546</v>
      </c>
      <c r="AK42" s="21">
        <f>'Rentabilität'!AE21</f>
        <v>0.480975799</v>
      </c>
      <c r="AL42" s="21">
        <f>'Rentabilität'!AF21</f>
        <v>0.4861872426</v>
      </c>
      <c r="AM42" s="21">
        <f>'Rentabilität'!AG21</f>
        <v>0.4909864071</v>
      </c>
      <c r="AN42" s="21">
        <f>'Rentabilität'!AH21</f>
        <v>0.4954236488</v>
      </c>
      <c r="AO42" s="21">
        <f>'Rentabilität'!AI21</f>
        <v>0.4994135623</v>
      </c>
      <c r="AP42" s="21">
        <f>'Rentabilität'!AJ21</f>
        <v>0.5030669749</v>
      </c>
    </row>
    <row r="43">
      <c r="D43" s="6"/>
      <c r="P43" s="6"/>
      <c r="AD43" s="6"/>
    </row>
    <row r="44">
      <c r="B44" s="15" t="s">
        <v>26</v>
      </c>
      <c r="D44" s="6"/>
      <c r="E44" s="16">
        <f>'Rentabilität'!C22</f>
        <v>10166.07143</v>
      </c>
      <c r="F44" s="16">
        <f>'Rentabilität'!D22</f>
        <v>5983.928571</v>
      </c>
      <c r="G44" s="16">
        <f>'Rentabilität'!E22</f>
        <v>8014.772727</v>
      </c>
      <c r="H44" s="16">
        <f>'Rentabilität'!F22</f>
        <v>-13655.35714</v>
      </c>
      <c r="I44" s="16">
        <f>'Rentabilität'!G22</f>
        <v>3744.88342</v>
      </c>
      <c r="J44" s="16">
        <f>'Rentabilität'!H22</f>
        <v>4534.853709</v>
      </c>
      <c r="K44" s="16">
        <f>'Rentabilität'!I22</f>
        <v>5269.8555</v>
      </c>
      <c r="L44" s="16">
        <f>'Rentabilität'!J22</f>
        <v>6021.317255</v>
      </c>
      <c r="M44" s="16">
        <f>'Rentabilität'!K22</f>
        <v>3945.765073</v>
      </c>
      <c r="N44" s="16">
        <f>'Rentabilität'!L22</f>
        <v>3771.290601</v>
      </c>
      <c r="P44" s="6"/>
      <c r="Q44" s="16">
        <f>'Rentabilität'!M22</f>
        <v>3657.033271</v>
      </c>
      <c r="R44" s="16">
        <f>'Rentabilität'!N22</f>
        <v>3521.565889</v>
      </c>
      <c r="S44" s="16">
        <f>'Rentabilität'!O22</f>
        <v>5078.281787</v>
      </c>
      <c r="T44" s="16">
        <f>'Rentabilität'!P22</f>
        <v>4473.981983</v>
      </c>
      <c r="U44" s="16">
        <f>'Rentabilität'!Q22</f>
        <v>3298.691876</v>
      </c>
      <c r="V44" s="16">
        <f>'Rentabilität'!R22</f>
        <v>3234.597817</v>
      </c>
      <c r="W44" s="16">
        <f>'Rentabilität'!S22</f>
        <v>3172.935467</v>
      </c>
      <c r="X44" s="16">
        <f>'Rentabilität'!T22</f>
        <v>3123.316972</v>
      </c>
      <c r="Y44" s="16">
        <f>'Rentabilität'!U22</f>
        <v>3102.624298</v>
      </c>
      <c r="Z44" s="16">
        <f>'Rentabilität'!V22</f>
        <v>3078.145212</v>
      </c>
      <c r="AA44" s="16">
        <f>'Rentabilität'!W22</f>
        <v>3052.560971</v>
      </c>
      <c r="AB44" s="16">
        <f>'Rentabilität'!X22</f>
        <v>3033.638791</v>
      </c>
      <c r="AD44" s="6"/>
      <c r="AE44" s="16">
        <f>'Rentabilität'!Y22</f>
        <v>3404.023955</v>
      </c>
      <c r="AF44" s="16">
        <f>'Rentabilität'!Z22</f>
        <v>3188.662166</v>
      </c>
      <c r="AG44" s="16">
        <f>'Rentabilität'!AA22</f>
        <v>3601.078844</v>
      </c>
      <c r="AH44" s="16">
        <f>'Rentabilität'!AB22</f>
        <v>3927.075894</v>
      </c>
      <c r="AI44" s="16">
        <f>'Rentabilität'!AC22</f>
        <v>2952.900072</v>
      </c>
      <c r="AJ44" s="16">
        <f>'Rentabilität'!AD22</f>
        <v>2943.38014</v>
      </c>
      <c r="AK44" s="16">
        <f>'Rentabilität'!AE22</f>
        <v>2930.377812</v>
      </c>
      <c r="AL44" s="16">
        <f>'Rentabilität'!AF22</f>
        <v>2921.123799</v>
      </c>
      <c r="AM44" s="16">
        <f>'Rentabilität'!AG22</f>
        <v>2912.292409</v>
      </c>
      <c r="AN44" s="16">
        <f>'Rentabilität'!AH22</f>
        <v>2903.870543</v>
      </c>
      <c r="AO44" s="16">
        <f>'Rentabilität'!AI22</f>
        <v>2896.399892</v>
      </c>
      <c r="AP44" s="16">
        <f>'Rentabilität'!AJ22</f>
        <v>2889.492849</v>
      </c>
    </row>
    <row r="45">
      <c r="D45" s="8"/>
      <c r="E45" s="7"/>
      <c r="P45" s="6"/>
      <c r="AD45" s="6"/>
    </row>
    <row r="46">
      <c r="B46" s="15" t="s">
        <v>27</v>
      </c>
      <c r="D46" s="6"/>
      <c r="E46" s="15" t="s">
        <v>10</v>
      </c>
      <c r="F46" s="33" t="str">
        <f t="shared" ref="F46:N46" si="27">IF(F4&gt;1000,(F4/E4)-1,"n/a")</f>
        <v>n/a</v>
      </c>
      <c r="G46" s="33" t="str">
        <f t="shared" si="27"/>
        <v>n/a</v>
      </c>
      <c r="H46" s="33" t="str">
        <f t="shared" si="27"/>
        <v>n/a</v>
      </c>
      <c r="I46" s="33" t="str">
        <f t="shared" si="27"/>
        <v>n/a</v>
      </c>
      <c r="J46" s="33" t="str">
        <f t="shared" si="27"/>
        <v>n/a</v>
      </c>
      <c r="K46" s="33" t="str">
        <f t="shared" si="27"/>
        <v>n/a</v>
      </c>
      <c r="L46" s="33">
        <f t="shared" si="27"/>
        <v>0.5304878049</v>
      </c>
      <c r="M46" s="33">
        <f t="shared" si="27"/>
        <v>0.3781238682</v>
      </c>
      <c r="N46" s="33">
        <f t="shared" si="27"/>
        <v>0.3584756899</v>
      </c>
      <c r="O46" s="33"/>
      <c r="P46" s="34"/>
      <c r="Q46" s="33">
        <f>(Q4/N4)-1</f>
        <v>0.274908106</v>
      </c>
      <c r="R46" s="33">
        <f t="shared" ref="R46:AB46" si="28">(R4/Q4)-1</f>
        <v>0.2596358118</v>
      </c>
      <c r="S46" s="33">
        <f t="shared" si="28"/>
        <v>0.2166004096</v>
      </c>
      <c r="T46" s="33">
        <f t="shared" si="28"/>
        <v>0.2067531439</v>
      </c>
      <c r="U46" s="33">
        <f t="shared" si="28"/>
        <v>0.1948797899</v>
      </c>
      <c r="V46" s="33">
        <f t="shared" si="28"/>
        <v>0.1672160418</v>
      </c>
      <c r="W46" s="33">
        <f t="shared" si="28"/>
        <v>0.144849091</v>
      </c>
      <c r="X46" s="33">
        <f t="shared" si="28"/>
        <v>0.1414255614</v>
      </c>
      <c r="Y46" s="33">
        <f t="shared" si="28"/>
        <v>0.1278195489</v>
      </c>
      <c r="Z46" s="33">
        <f t="shared" si="28"/>
        <v>0.1247904192</v>
      </c>
      <c r="AA46" s="33">
        <f t="shared" si="28"/>
        <v>0.121237933</v>
      </c>
      <c r="AB46" s="33">
        <f t="shared" si="28"/>
        <v>0.1118321094</v>
      </c>
      <c r="AC46" s="33"/>
      <c r="AD46" s="34"/>
      <c r="AE46" s="33">
        <f>(AE4/AB4)-1</f>
        <v>0.1087544484</v>
      </c>
      <c r="AF46" s="33">
        <f t="shared" ref="AF46:AP46" si="29">(AF4/AE4)-1</f>
        <v>0.1054564129</v>
      </c>
      <c r="AG46" s="33">
        <f t="shared" si="29"/>
        <v>0.09741707702</v>
      </c>
      <c r="AH46" s="33">
        <f t="shared" si="29"/>
        <v>0.09611395674</v>
      </c>
      <c r="AI46" s="33">
        <f t="shared" si="29"/>
        <v>0.0932280302</v>
      </c>
      <c r="AJ46" s="33">
        <f t="shared" si="29"/>
        <v>0.08734434337</v>
      </c>
      <c r="AK46" s="33">
        <f t="shared" si="29"/>
        <v>0.08872644574</v>
      </c>
      <c r="AL46" s="33">
        <f t="shared" si="29"/>
        <v>0.08324132374</v>
      </c>
      <c r="AM46" s="33">
        <f t="shared" si="29"/>
        <v>0.0812110026</v>
      </c>
      <c r="AN46" s="33">
        <f t="shared" si="29"/>
        <v>0.07953170185</v>
      </c>
      <c r="AO46" s="33">
        <f t="shared" si="29"/>
        <v>0.07737786169</v>
      </c>
      <c r="AP46" s="33">
        <f t="shared" si="29"/>
        <v>0.07562132381</v>
      </c>
    </row>
    <row r="47">
      <c r="B47" s="15" t="s">
        <v>28</v>
      </c>
      <c r="D47" s="6"/>
      <c r="F47" s="21" t="str">
        <f t="shared" ref="F47:N47" si="30">IFERROR((1+F46)^12-1,"n/a")</f>
        <v>n/a</v>
      </c>
      <c r="G47" s="21" t="str">
        <f t="shared" si="30"/>
        <v>n/a</v>
      </c>
      <c r="H47" s="21" t="str">
        <f t="shared" si="30"/>
        <v>n/a</v>
      </c>
      <c r="I47" s="21" t="str">
        <f t="shared" si="30"/>
        <v>n/a</v>
      </c>
      <c r="J47" s="21" t="str">
        <f t="shared" si="30"/>
        <v>n/a</v>
      </c>
      <c r="K47" s="21" t="str">
        <f t="shared" si="30"/>
        <v>n/a</v>
      </c>
      <c r="L47" s="21">
        <f t="shared" si="30"/>
        <v>164.1803877</v>
      </c>
      <c r="M47" s="21">
        <f t="shared" si="30"/>
        <v>45.93091846</v>
      </c>
      <c r="N47" s="21">
        <f t="shared" si="30"/>
        <v>38.50230635</v>
      </c>
      <c r="O47" s="21"/>
      <c r="P47" s="22"/>
      <c r="Q47" s="21">
        <f t="shared" ref="Q47:AB47" si="31">(1+Q46)^12-1</f>
        <v>17.43939166</v>
      </c>
      <c r="R47" s="21">
        <f t="shared" si="31"/>
        <v>14.95658651</v>
      </c>
      <c r="S47" s="21">
        <f t="shared" si="31"/>
        <v>9.514182235</v>
      </c>
      <c r="T47" s="21">
        <f t="shared" si="31"/>
        <v>8.53720828</v>
      </c>
      <c r="U47" s="21">
        <f t="shared" si="31"/>
        <v>7.470139967</v>
      </c>
      <c r="V47" s="21">
        <f t="shared" si="31"/>
        <v>5.394623397</v>
      </c>
      <c r="W47" s="21">
        <f t="shared" si="31"/>
        <v>4.069661048</v>
      </c>
      <c r="X47" s="21">
        <f t="shared" si="31"/>
        <v>3.890701182</v>
      </c>
      <c r="Y47" s="21">
        <f t="shared" si="31"/>
        <v>3.235214561</v>
      </c>
      <c r="Z47" s="21">
        <f t="shared" si="31"/>
        <v>3.100712301</v>
      </c>
      <c r="AA47" s="21">
        <f t="shared" si="31"/>
        <v>2.947965831</v>
      </c>
      <c r="AB47" s="21">
        <f t="shared" si="31"/>
        <v>2.568375478</v>
      </c>
      <c r="AC47" s="21"/>
      <c r="AD47" s="22"/>
      <c r="AE47" s="21">
        <f t="shared" ref="AE47:AP47" si="32">(1+AE46)^12-1</f>
        <v>2.451632131</v>
      </c>
      <c r="AF47" s="21">
        <f t="shared" si="32"/>
        <v>2.330423644</v>
      </c>
      <c r="AG47" s="21">
        <f t="shared" si="32"/>
        <v>2.051128989</v>
      </c>
      <c r="AH47" s="21">
        <f t="shared" si="32"/>
        <v>2.007935307</v>
      </c>
      <c r="AI47" s="21">
        <f t="shared" si="32"/>
        <v>1.914265405</v>
      </c>
      <c r="AJ47" s="21">
        <f t="shared" si="32"/>
        <v>1.731525091</v>
      </c>
      <c r="AK47" s="21">
        <f t="shared" si="32"/>
        <v>1.773481463</v>
      </c>
      <c r="AL47" s="21">
        <f t="shared" si="32"/>
        <v>1.610373372</v>
      </c>
      <c r="AM47" s="21">
        <f t="shared" si="32"/>
        <v>1.552263315</v>
      </c>
      <c r="AN47" s="21">
        <f t="shared" si="32"/>
        <v>1.505098493</v>
      </c>
      <c r="AO47" s="21">
        <f t="shared" si="32"/>
        <v>1.445775371</v>
      </c>
      <c r="AP47" s="21">
        <f t="shared" si="32"/>
        <v>1.39835154</v>
      </c>
    </row>
    <row r="48">
      <c r="B48" s="15" t="s">
        <v>29</v>
      </c>
      <c r="F48" s="18" t="str">
        <f t="shared" ref="F48:N48" si="33">IFERROR(F42+F46,"n/a")</f>
        <v>n/a</v>
      </c>
      <c r="G48" s="18" t="str">
        <f t="shared" si="33"/>
        <v>n/a</v>
      </c>
      <c r="H48" s="18" t="str">
        <f t="shared" si="33"/>
        <v>n/a</v>
      </c>
      <c r="I48" s="18" t="str">
        <f t="shared" si="33"/>
        <v>n/a</v>
      </c>
      <c r="J48" s="18" t="str">
        <f t="shared" si="33"/>
        <v>n/a</v>
      </c>
      <c r="K48" s="18" t="str">
        <f t="shared" si="33"/>
        <v>n/a</v>
      </c>
      <c r="L48" s="21">
        <f t="shared" si="33"/>
        <v>-0.6109537018</v>
      </c>
      <c r="M48" s="21">
        <f t="shared" si="33"/>
        <v>-0.04227034997</v>
      </c>
      <c r="N48" s="21">
        <f t="shared" si="33"/>
        <v>0.1704161039</v>
      </c>
      <c r="Q48" s="21">
        <f t="shared" ref="Q48:AB48" si="34">Q42+Q46</f>
        <v>0.2285044641</v>
      </c>
      <c r="R48" s="21">
        <f t="shared" si="34"/>
        <v>0.3260952746</v>
      </c>
      <c r="S48" s="21">
        <f t="shared" si="34"/>
        <v>0.2140575836</v>
      </c>
      <c r="T48" s="21">
        <f t="shared" si="34"/>
        <v>0.3282071522</v>
      </c>
      <c r="U48" s="21">
        <f t="shared" si="34"/>
        <v>0.4509682393</v>
      </c>
      <c r="V48" s="21">
        <f t="shared" si="34"/>
        <v>0.4629717634</v>
      </c>
      <c r="W48" s="21">
        <f t="shared" si="34"/>
        <v>0.4728782806</v>
      </c>
      <c r="X48" s="21">
        <f t="shared" si="34"/>
        <v>0.4968566541</v>
      </c>
      <c r="Y48" s="21">
        <f t="shared" si="34"/>
        <v>0.5023105668</v>
      </c>
      <c r="Z48" s="21">
        <f t="shared" si="34"/>
        <v>0.5169213107</v>
      </c>
      <c r="AA48" s="21">
        <f t="shared" si="34"/>
        <v>0.5294286142</v>
      </c>
      <c r="AB48" s="21">
        <f t="shared" si="34"/>
        <v>0.5330136041</v>
      </c>
      <c r="AD48" s="6"/>
      <c r="AE48" s="21">
        <f t="shared" ref="AE48:AP48" si="35">AE42+AE46</f>
        <v>0.531648273</v>
      </c>
      <c r="AF48" s="21">
        <f t="shared" si="35"/>
        <v>0.5447939582</v>
      </c>
      <c r="AG48" s="21">
        <f t="shared" si="35"/>
        <v>0.5364866279</v>
      </c>
      <c r="AH48" s="21">
        <f t="shared" si="35"/>
        <v>0.537772288</v>
      </c>
      <c r="AI48" s="21">
        <f t="shared" si="35"/>
        <v>0.5617116476</v>
      </c>
      <c r="AJ48" s="21">
        <f t="shared" si="35"/>
        <v>0.561902498</v>
      </c>
      <c r="AK48" s="21">
        <f t="shared" si="35"/>
        <v>0.5697022447</v>
      </c>
      <c r="AL48" s="21">
        <f t="shared" si="35"/>
        <v>0.5694285663</v>
      </c>
      <c r="AM48" s="21">
        <f t="shared" si="35"/>
        <v>0.5721974097</v>
      </c>
      <c r="AN48" s="21">
        <f t="shared" si="35"/>
        <v>0.5749553507</v>
      </c>
      <c r="AO48" s="21">
        <f t="shared" si="35"/>
        <v>0.576791424</v>
      </c>
      <c r="AP48" s="21">
        <f t="shared" si="35"/>
        <v>0.5786882987</v>
      </c>
    </row>
    <row r="49">
      <c r="D49" s="7"/>
      <c r="E49" s="7"/>
    </row>
    <row r="50">
      <c r="A50" s="35" t="s">
        <v>30</v>
      </c>
      <c r="B50" s="35"/>
    </row>
    <row r="51">
      <c r="A51" s="15" t="s">
        <v>31</v>
      </c>
      <c r="B51" s="15"/>
    </row>
    <row r="52">
      <c r="A52" s="24" t="s">
        <v>32</v>
      </c>
      <c r="B52" s="24"/>
    </row>
    <row r="53">
      <c r="A53" s="20"/>
      <c r="B53" s="20"/>
    </row>
    <row r="54">
      <c r="A54" s="36" t="s">
        <v>33</v>
      </c>
      <c r="B54" s="36"/>
    </row>
  </sheetData>
  <conditionalFormatting sqref="D32:AP32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E34:N34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Q34:AB34">
    <cfRule type="colorScale" priority="3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AE34:AP34">
    <cfRule type="colorScale" priority="4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31.5"/>
    <col customWidth="1" min="3" max="3" width="10.0"/>
    <col customWidth="1" min="4" max="4" width="7.0"/>
    <col customWidth="1" min="5" max="6" width="6.25"/>
    <col customWidth="1" min="7" max="19" width="7.63"/>
    <col customWidth="1" min="20" max="37" width="8.5"/>
  </cols>
  <sheetData>
    <row r="1">
      <c r="A1" s="1" t="s">
        <v>1</v>
      </c>
      <c r="D1" s="2">
        <v>46112.0</v>
      </c>
      <c r="E1" s="4">
        <f t="shared" ref="E1:AK1" si="1">EOMONTH(D1,1)</f>
        <v>46142</v>
      </c>
      <c r="F1" s="4">
        <f t="shared" si="1"/>
        <v>46173</v>
      </c>
      <c r="G1" s="4">
        <f t="shared" si="1"/>
        <v>46203</v>
      </c>
      <c r="H1" s="4">
        <f t="shared" si="1"/>
        <v>46234</v>
      </c>
      <c r="I1" s="4">
        <f t="shared" si="1"/>
        <v>46265</v>
      </c>
      <c r="J1" s="4">
        <f t="shared" si="1"/>
        <v>46295</v>
      </c>
      <c r="K1" s="4">
        <f t="shared" si="1"/>
        <v>46326</v>
      </c>
      <c r="L1" s="4">
        <f t="shared" si="1"/>
        <v>46356</v>
      </c>
      <c r="M1" s="4">
        <f t="shared" si="1"/>
        <v>46387</v>
      </c>
      <c r="N1" s="4">
        <f t="shared" si="1"/>
        <v>46418</v>
      </c>
      <c r="O1" s="4">
        <f t="shared" si="1"/>
        <v>46446</v>
      </c>
      <c r="P1" s="4">
        <f t="shared" si="1"/>
        <v>46477</v>
      </c>
      <c r="Q1" s="4">
        <f t="shared" si="1"/>
        <v>46507</v>
      </c>
      <c r="R1" s="4">
        <f t="shared" si="1"/>
        <v>46538</v>
      </c>
      <c r="S1" s="4">
        <f t="shared" si="1"/>
        <v>46568</v>
      </c>
      <c r="T1" s="4">
        <f t="shared" si="1"/>
        <v>46599</v>
      </c>
      <c r="U1" s="4">
        <f t="shared" si="1"/>
        <v>46630</v>
      </c>
      <c r="V1" s="4">
        <f t="shared" si="1"/>
        <v>46660</v>
      </c>
      <c r="W1" s="4">
        <f t="shared" si="1"/>
        <v>46691</v>
      </c>
      <c r="X1" s="4">
        <f t="shared" si="1"/>
        <v>46721</v>
      </c>
      <c r="Y1" s="4">
        <f t="shared" si="1"/>
        <v>46752</v>
      </c>
      <c r="Z1" s="4">
        <f t="shared" si="1"/>
        <v>46783</v>
      </c>
      <c r="AA1" s="4">
        <f t="shared" si="1"/>
        <v>46812</v>
      </c>
      <c r="AB1" s="4">
        <f t="shared" si="1"/>
        <v>46843</v>
      </c>
      <c r="AC1" s="4">
        <f t="shared" si="1"/>
        <v>46873</v>
      </c>
      <c r="AD1" s="4">
        <f t="shared" si="1"/>
        <v>46904</v>
      </c>
      <c r="AE1" s="4">
        <f t="shared" si="1"/>
        <v>46934</v>
      </c>
      <c r="AF1" s="4">
        <f t="shared" si="1"/>
        <v>46965</v>
      </c>
      <c r="AG1" s="4">
        <f t="shared" si="1"/>
        <v>46996</v>
      </c>
      <c r="AH1" s="4">
        <f t="shared" si="1"/>
        <v>47026</v>
      </c>
      <c r="AI1" s="4">
        <f t="shared" si="1"/>
        <v>47057</v>
      </c>
      <c r="AJ1" s="4">
        <f t="shared" si="1"/>
        <v>47087</v>
      </c>
      <c r="AK1" s="4">
        <f t="shared" si="1"/>
        <v>47118</v>
      </c>
    </row>
    <row r="3">
      <c r="A3" s="10" t="s">
        <v>34</v>
      </c>
      <c r="B3" s="11"/>
      <c r="C3" s="11"/>
      <c r="D3" s="13">
        <f t="shared" ref="D3:AK3" si="2">D5+D43</f>
        <v>15</v>
      </c>
      <c r="E3" s="13">
        <f t="shared" si="2"/>
        <v>30</v>
      </c>
      <c r="F3" s="13">
        <f t="shared" si="2"/>
        <v>45</v>
      </c>
      <c r="G3" s="13">
        <f t="shared" si="2"/>
        <v>75</v>
      </c>
      <c r="H3" s="13">
        <f t="shared" si="2"/>
        <v>335</v>
      </c>
      <c r="I3" s="13">
        <f t="shared" si="2"/>
        <v>523.5</v>
      </c>
      <c r="J3" s="13">
        <f t="shared" si="2"/>
        <v>902</v>
      </c>
      <c r="K3" s="13">
        <f t="shared" si="2"/>
        <v>1380.5</v>
      </c>
      <c r="L3" s="13">
        <f t="shared" si="2"/>
        <v>1902.5</v>
      </c>
      <c r="M3" s="13">
        <f t="shared" si="2"/>
        <v>2584.5</v>
      </c>
      <c r="N3" s="13">
        <f t="shared" si="2"/>
        <v>3295</v>
      </c>
      <c r="O3" s="13">
        <f t="shared" si="2"/>
        <v>4150.5</v>
      </c>
      <c r="P3" s="13">
        <f t="shared" si="2"/>
        <v>5049.5</v>
      </c>
      <c r="Q3" s="13">
        <f t="shared" si="2"/>
        <v>6093.5</v>
      </c>
      <c r="R3" s="13">
        <f t="shared" si="2"/>
        <v>7281</v>
      </c>
      <c r="S3" s="13">
        <f t="shared" si="2"/>
        <v>8498.5</v>
      </c>
      <c r="T3" s="13">
        <f t="shared" si="2"/>
        <v>9729.5</v>
      </c>
      <c r="U3" s="13">
        <f t="shared" si="2"/>
        <v>11105.5</v>
      </c>
      <c r="V3" s="13">
        <f t="shared" si="2"/>
        <v>12525</v>
      </c>
      <c r="W3" s="13">
        <f t="shared" si="2"/>
        <v>14088</v>
      </c>
      <c r="X3" s="13">
        <f t="shared" si="2"/>
        <v>15796</v>
      </c>
      <c r="Y3" s="13">
        <f t="shared" si="2"/>
        <v>17562.5</v>
      </c>
      <c r="Z3" s="13">
        <f t="shared" si="2"/>
        <v>19472.5</v>
      </c>
      <c r="AA3" s="13">
        <f t="shared" si="2"/>
        <v>21526</v>
      </c>
      <c r="AB3" s="13">
        <f t="shared" si="2"/>
        <v>23623</v>
      </c>
      <c r="AC3" s="13">
        <f t="shared" si="2"/>
        <v>25893.5</v>
      </c>
      <c r="AD3" s="13">
        <f t="shared" si="2"/>
        <v>28307.5</v>
      </c>
      <c r="AE3" s="13">
        <f t="shared" si="2"/>
        <v>30780</v>
      </c>
      <c r="AF3" s="13">
        <f t="shared" si="2"/>
        <v>33511</v>
      </c>
      <c r="AG3" s="13">
        <f t="shared" si="2"/>
        <v>36300.5</v>
      </c>
      <c r="AH3" s="13">
        <f t="shared" si="2"/>
        <v>39248.5</v>
      </c>
      <c r="AI3" s="13">
        <f t="shared" si="2"/>
        <v>42370</v>
      </c>
      <c r="AJ3" s="13">
        <f t="shared" si="2"/>
        <v>45648.5</v>
      </c>
      <c r="AK3" s="13">
        <f t="shared" si="2"/>
        <v>49100.5</v>
      </c>
    </row>
    <row r="5">
      <c r="A5" s="10" t="s">
        <v>35</v>
      </c>
      <c r="B5" s="11"/>
      <c r="C5" s="11"/>
      <c r="D5" s="13">
        <f t="shared" ref="D5:AK5" si="3">SUM(D18,D38)</f>
        <v>15</v>
      </c>
      <c r="E5" s="13">
        <f t="shared" si="3"/>
        <v>30</v>
      </c>
      <c r="F5" s="13">
        <f t="shared" si="3"/>
        <v>45</v>
      </c>
      <c r="G5" s="13">
        <f t="shared" si="3"/>
        <v>75</v>
      </c>
      <c r="H5" s="13">
        <f t="shared" si="3"/>
        <v>335</v>
      </c>
      <c r="I5" s="13">
        <f t="shared" si="3"/>
        <v>523.5</v>
      </c>
      <c r="J5" s="13">
        <f t="shared" si="3"/>
        <v>902</v>
      </c>
      <c r="K5" s="13">
        <f t="shared" si="3"/>
        <v>1380.5</v>
      </c>
      <c r="L5" s="13">
        <f t="shared" si="3"/>
        <v>1902.5</v>
      </c>
      <c r="M5" s="13">
        <f t="shared" si="3"/>
        <v>2584.5</v>
      </c>
      <c r="N5" s="13">
        <f t="shared" si="3"/>
        <v>3295</v>
      </c>
      <c r="O5" s="13">
        <f t="shared" si="3"/>
        <v>4150.5</v>
      </c>
      <c r="P5" s="13">
        <f t="shared" si="3"/>
        <v>5049.5</v>
      </c>
      <c r="Q5" s="13">
        <f t="shared" si="3"/>
        <v>6093.5</v>
      </c>
      <c r="R5" s="13">
        <f t="shared" si="3"/>
        <v>7281</v>
      </c>
      <c r="S5" s="13">
        <f t="shared" si="3"/>
        <v>8498.5</v>
      </c>
      <c r="T5" s="13">
        <f t="shared" si="3"/>
        <v>9729.5</v>
      </c>
      <c r="U5" s="13">
        <f t="shared" si="3"/>
        <v>11105.5</v>
      </c>
      <c r="V5" s="13">
        <f t="shared" si="3"/>
        <v>12525</v>
      </c>
      <c r="W5" s="13">
        <f t="shared" si="3"/>
        <v>14088</v>
      </c>
      <c r="X5" s="13">
        <f t="shared" si="3"/>
        <v>15796</v>
      </c>
      <c r="Y5" s="13">
        <f t="shared" si="3"/>
        <v>17562.5</v>
      </c>
      <c r="Z5" s="13">
        <f t="shared" si="3"/>
        <v>19472.5</v>
      </c>
      <c r="AA5" s="13">
        <f t="shared" si="3"/>
        <v>21526</v>
      </c>
      <c r="AB5" s="13">
        <f t="shared" si="3"/>
        <v>23623</v>
      </c>
      <c r="AC5" s="13">
        <f t="shared" si="3"/>
        <v>25893.5</v>
      </c>
      <c r="AD5" s="13">
        <f t="shared" si="3"/>
        <v>28307.5</v>
      </c>
      <c r="AE5" s="13">
        <f t="shared" si="3"/>
        <v>30780</v>
      </c>
      <c r="AF5" s="13">
        <f t="shared" si="3"/>
        <v>33511</v>
      </c>
      <c r="AG5" s="13">
        <f t="shared" si="3"/>
        <v>36300.5</v>
      </c>
      <c r="AH5" s="13">
        <f t="shared" si="3"/>
        <v>39248.5</v>
      </c>
      <c r="AI5" s="13">
        <f t="shared" si="3"/>
        <v>42370</v>
      </c>
      <c r="AJ5" s="13">
        <f t="shared" si="3"/>
        <v>45648.5</v>
      </c>
      <c r="AK5" s="13">
        <f t="shared" si="3"/>
        <v>49100.5</v>
      </c>
    </row>
    <row r="7">
      <c r="A7" s="24"/>
      <c r="B7" s="24" t="s">
        <v>36</v>
      </c>
      <c r="C7" s="23"/>
      <c r="D7" s="37">
        <v>0.0</v>
      </c>
      <c r="E7" s="37">
        <v>0.0</v>
      </c>
      <c r="F7" s="37">
        <v>0.0</v>
      </c>
      <c r="G7" s="37">
        <v>0.0</v>
      </c>
      <c r="H7" s="37">
        <v>0.0</v>
      </c>
      <c r="I7" s="37">
        <v>0.0</v>
      </c>
      <c r="J7" s="37">
        <v>0.0</v>
      </c>
      <c r="K7" s="37">
        <v>0.0</v>
      </c>
      <c r="L7" s="37">
        <v>0.0</v>
      </c>
      <c r="M7" s="37">
        <v>0.0</v>
      </c>
      <c r="N7" s="37">
        <v>0.0</v>
      </c>
      <c r="O7" s="37">
        <v>0.0</v>
      </c>
      <c r="P7" s="37">
        <v>0.0</v>
      </c>
      <c r="Q7" s="37">
        <v>0.0</v>
      </c>
      <c r="R7" s="37">
        <v>0.0</v>
      </c>
      <c r="S7" s="37">
        <v>0.0</v>
      </c>
      <c r="T7" s="37">
        <v>0.0</v>
      </c>
      <c r="U7" s="37">
        <v>0.0</v>
      </c>
      <c r="V7" s="37">
        <v>0.0</v>
      </c>
      <c r="W7" s="37">
        <v>0.0</v>
      </c>
      <c r="X7" s="37">
        <v>0.0</v>
      </c>
      <c r="Y7" s="37">
        <v>0.0</v>
      </c>
      <c r="Z7" s="37">
        <v>0.0</v>
      </c>
      <c r="AA7" s="37">
        <v>0.0</v>
      </c>
      <c r="AB7" s="37">
        <v>0.0</v>
      </c>
      <c r="AC7" s="37">
        <v>0.0</v>
      </c>
      <c r="AD7" s="37">
        <v>0.0</v>
      </c>
      <c r="AE7" s="37">
        <v>0.0</v>
      </c>
      <c r="AF7" s="37">
        <v>0.0</v>
      </c>
      <c r="AG7" s="37">
        <v>0.0</v>
      </c>
      <c r="AH7" s="37">
        <v>0.0</v>
      </c>
      <c r="AI7" s="37">
        <v>0.0</v>
      </c>
      <c r="AJ7" s="37">
        <v>0.0</v>
      </c>
      <c r="AK7" s="37">
        <v>0.0</v>
      </c>
    </row>
    <row r="8">
      <c r="B8" s="15" t="s">
        <v>37</v>
      </c>
      <c r="D8" s="15">
        <f>Wachstum!E4</f>
        <v>3</v>
      </c>
      <c r="E8" s="35">
        <f>Wachstum!F4</f>
        <v>3</v>
      </c>
      <c r="F8" s="35">
        <f>Wachstum!G4</f>
        <v>9</v>
      </c>
      <c r="G8" s="35">
        <f>Wachstum!H4</f>
        <v>20</v>
      </c>
      <c r="H8" s="35">
        <f>Wachstum!I4</f>
        <v>41</v>
      </c>
      <c r="I8" s="35">
        <f>Wachstum!J4</f>
        <v>64</v>
      </c>
      <c r="J8" s="35">
        <f>Wachstum!K4</f>
        <v>123</v>
      </c>
      <c r="K8" s="35">
        <f>Wachstum!L4</f>
        <v>132</v>
      </c>
      <c r="L8" s="35">
        <f>Wachstum!M4</f>
        <v>170</v>
      </c>
      <c r="M8" s="35">
        <f>Wachstum!N4</f>
        <v>217</v>
      </c>
      <c r="N8" s="35">
        <f>Wachstum!O4</f>
        <v>255</v>
      </c>
      <c r="O8" s="35">
        <f>Wachstum!P4</f>
        <v>306</v>
      </c>
      <c r="P8" s="35">
        <f>Wachstum!Q4</f>
        <v>357</v>
      </c>
      <c r="Q8" s="35">
        <f>Wachstum!R4</f>
        <v>410</v>
      </c>
      <c r="R8" s="35">
        <f>Wachstum!S4</f>
        <v>466</v>
      </c>
      <c r="S8" s="35">
        <f>Wachstum!T4</f>
        <v>517</v>
      </c>
      <c r="T8" s="35">
        <f>Wachstum!U4</f>
        <v>563</v>
      </c>
      <c r="U8" s="35">
        <f>Wachstum!V4</f>
        <v>627</v>
      </c>
      <c r="V8" s="35">
        <f>Wachstum!W4</f>
        <v>694</v>
      </c>
      <c r="W8" s="35">
        <f>Wachstum!X4</f>
        <v>764</v>
      </c>
      <c r="X8" s="35">
        <f>Wachstum!Y4</f>
        <v>838</v>
      </c>
      <c r="Y8" s="35">
        <f>Wachstum!Z4</f>
        <v>915</v>
      </c>
      <c r="Z8" s="35">
        <f>Wachstum!AA4</f>
        <v>996</v>
      </c>
      <c r="AA8" s="35">
        <f>Wachstum!AB4</f>
        <v>1082</v>
      </c>
      <c r="AB8" s="35">
        <f>Wachstum!AC4</f>
        <v>1171</v>
      </c>
      <c r="AC8" s="35">
        <f>Wachstum!AD4</f>
        <v>1265</v>
      </c>
      <c r="AD8" s="35">
        <f>Wachstum!AE4</f>
        <v>1364</v>
      </c>
      <c r="AE8" s="35">
        <f>Wachstum!AF4</f>
        <v>1468</v>
      </c>
      <c r="AF8" s="35">
        <f>Wachstum!AG4</f>
        <v>1577</v>
      </c>
      <c r="AG8" s="35">
        <f>Wachstum!AH4</f>
        <v>1691</v>
      </c>
      <c r="AH8" s="35">
        <f>Wachstum!AI4</f>
        <v>1811</v>
      </c>
      <c r="AI8" s="35">
        <f>Wachstum!AJ4</f>
        <v>1937</v>
      </c>
      <c r="AJ8" s="35">
        <f>Wachstum!AK4</f>
        <v>2070</v>
      </c>
      <c r="AK8" s="35">
        <f>Wachstum!AL4</f>
        <v>2209</v>
      </c>
    </row>
    <row r="9">
      <c r="B9" s="15" t="s">
        <v>38</v>
      </c>
      <c r="C9" s="38"/>
      <c r="D9" s="15">
        <f>D8</f>
        <v>3</v>
      </c>
      <c r="E9" s="18">
        <f t="shared" ref="E9:AK9" si="4">D9+E8</f>
        <v>6</v>
      </c>
      <c r="F9" s="18">
        <f t="shared" si="4"/>
        <v>15</v>
      </c>
      <c r="G9" s="18">
        <f t="shared" si="4"/>
        <v>35</v>
      </c>
      <c r="H9" s="18">
        <f t="shared" si="4"/>
        <v>76</v>
      </c>
      <c r="I9" s="18">
        <f t="shared" si="4"/>
        <v>140</v>
      </c>
      <c r="J9" s="18">
        <f t="shared" si="4"/>
        <v>263</v>
      </c>
      <c r="K9" s="18">
        <f t="shared" si="4"/>
        <v>395</v>
      </c>
      <c r="L9" s="18">
        <f t="shared" si="4"/>
        <v>565</v>
      </c>
      <c r="M9" s="18">
        <f t="shared" si="4"/>
        <v>782</v>
      </c>
      <c r="N9" s="18">
        <f t="shared" si="4"/>
        <v>1037</v>
      </c>
      <c r="O9" s="18">
        <f t="shared" si="4"/>
        <v>1343</v>
      </c>
      <c r="P9" s="18">
        <f t="shared" si="4"/>
        <v>1700</v>
      </c>
      <c r="Q9" s="18">
        <f t="shared" si="4"/>
        <v>2110</v>
      </c>
      <c r="R9" s="18">
        <f t="shared" si="4"/>
        <v>2576</v>
      </c>
      <c r="S9" s="18">
        <f t="shared" si="4"/>
        <v>3093</v>
      </c>
      <c r="T9" s="18">
        <f t="shared" si="4"/>
        <v>3656</v>
      </c>
      <c r="U9" s="18">
        <f t="shared" si="4"/>
        <v>4283</v>
      </c>
      <c r="V9" s="18">
        <f t="shared" si="4"/>
        <v>4977</v>
      </c>
      <c r="W9" s="18">
        <f t="shared" si="4"/>
        <v>5741</v>
      </c>
      <c r="X9" s="18">
        <f t="shared" si="4"/>
        <v>6579</v>
      </c>
      <c r="Y9" s="18">
        <f t="shared" si="4"/>
        <v>7494</v>
      </c>
      <c r="Z9" s="18">
        <f t="shared" si="4"/>
        <v>8490</v>
      </c>
      <c r="AA9" s="18">
        <f t="shared" si="4"/>
        <v>9572</v>
      </c>
      <c r="AB9" s="18">
        <f t="shared" si="4"/>
        <v>10743</v>
      </c>
      <c r="AC9" s="18">
        <f t="shared" si="4"/>
        <v>12008</v>
      </c>
      <c r="AD9" s="18">
        <f t="shared" si="4"/>
        <v>13372</v>
      </c>
      <c r="AE9" s="18">
        <f t="shared" si="4"/>
        <v>14840</v>
      </c>
      <c r="AF9" s="18">
        <f t="shared" si="4"/>
        <v>16417</v>
      </c>
      <c r="AG9" s="18">
        <f t="shared" si="4"/>
        <v>18108</v>
      </c>
      <c r="AH9" s="18">
        <f t="shared" si="4"/>
        <v>19919</v>
      </c>
      <c r="AI9" s="18">
        <f t="shared" si="4"/>
        <v>21856</v>
      </c>
      <c r="AJ9" s="18">
        <f t="shared" si="4"/>
        <v>23926</v>
      </c>
      <c r="AK9" s="18">
        <f t="shared" si="4"/>
        <v>26135</v>
      </c>
    </row>
    <row r="10">
      <c r="B10" s="15" t="s">
        <v>39</v>
      </c>
      <c r="D10" s="15">
        <f>D8</f>
        <v>3</v>
      </c>
      <c r="E10" s="15">
        <f t="shared" ref="E10:AK10" si="5">SUM(D8:E8)</f>
        <v>6</v>
      </c>
      <c r="F10" s="15">
        <f t="shared" si="5"/>
        <v>12</v>
      </c>
      <c r="G10" s="15">
        <f t="shared" si="5"/>
        <v>29</v>
      </c>
      <c r="H10" s="15">
        <f t="shared" si="5"/>
        <v>61</v>
      </c>
      <c r="I10" s="15">
        <f t="shared" si="5"/>
        <v>105</v>
      </c>
      <c r="J10" s="15">
        <f t="shared" si="5"/>
        <v>187</v>
      </c>
      <c r="K10" s="15">
        <f t="shared" si="5"/>
        <v>255</v>
      </c>
      <c r="L10" s="15">
        <f t="shared" si="5"/>
        <v>302</v>
      </c>
      <c r="M10" s="15">
        <f t="shared" si="5"/>
        <v>387</v>
      </c>
      <c r="N10" s="15">
        <f t="shared" si="5"/>
        <v>472</v>
      </c>
      <c r="O10" s="15">
        <f t="shared" si="5"/>
        <v>561</v>
      </c>
      <c r="P10" s="15">
        <f t="shared" si="5"/>
        <v>663</v>
      </c>
      <c r="Q10" s="15">
        <f t="shared" si="5"/>
        <v>767</v>
      </c>
      <c r="R10" s="15">
        <f t="shared" si="5"/>
        <v>876</v>
      </c>
      <c r="S10" s="15">
        <f t="shared" si="5"/>
        <v>983</v>
      </c>
      <c r="T10" s="15">
        <f t="shared" si="5"/>
        <v>1080</v>
      </c>
      <c r="U10" s="15">
        <f t="shared" si="5"/>
        <v>1190</v>
      </c>
      <c r="V10" s="15">
        <f t="shared" si="5"/>
        <v>1321</v>
      </c>
      <c r="W10" s="15">
        <f t="shared" si="5"/>
        <v>1458</v>
      </c>
      <c r="X10" s="15">
        <f t="shared" si="5"/>
        <v>1602</v>
      </c>
      <c r="Y10" s="15">
        <f t="shared" si="5"/>
        <v>1753</v>
      </c>
      <c r="Z10" s="15">
        <f t="shared" si="5"/>
        <v>1911</v>
      </c>
      <c r="AA10" s="15">
        <f t="shared" si="5"/>
        <v>2078</v>
      </c>
      <c r="AB10" s="15">
        <f t="shared" si="5"/>
        <v>2253</v>
      </c>
      <c r="AC10" s="15">
        <f t="shared" si="5"/>
        <v>2436</v>
      </c>
      <c r="AD10" s="15">
        <f t="shared" si="5"/>
        <v>2629</v>
      </c>
      <c r="AE10" s="15">
        <f t="shared" si="5"/>
        <v>2832</v>
      </c>
      <c r="AF10" s="15">
        <f t="shared" si="5"/>
        <v>3045</v>
      </c>
      <c r="AG10" s="15">
        <f t="shared" si="5"/>
        <v>3268</v>
      </c>
      <c r="AH10" s="15">
        <f t="shared" si="5"/>
        <v>3502</v>
      </c>
      <c r="AI10" s="15">
        <f t="shared" si="5"/>
        <v>3748</v>
      </c>
      <c r="AJ10" s="15">
        <f t="shared" si="5"/>
        <v>4007</v>
      </c>
      <c r="AK10" s="15">
        <f t="shared" si="5"/>
        <v>4279</v>
      </c>
    </row>
    <row r="11">
      <c r="B11" s="15"/>
      <c r="C11" s="15"/>
    </row>
    <row r="12">
      <c r="B12" s="15" t="s">
        <v>40</v>
      </c>
      <c r="C12" s="39">
        <v>0.1</v>
      </c>
    </row>
    <row r="13">
      <c r="B13" s="15" t="s">
        <v>41</v>
      </c>
      <c r="D13" s="15">
        <v>1.0</v>
      </c>
      <c r="E13" s="15">
        <v>1.0</v>
      </c>
      <c r="F13" s="15">
        <v>1.0</v>
      </c>
      <c r="G13" s="18">
        <f t="shared" ref="G13:AK13" si="6">ROUND($C12*G8,0)</f>
        <v>2</v>
      </c>
      <c r="H13" s="18">
        <f t="shared" si="6"/>
        <v>4</v>
      </c>
      <c r="I13" s="18">
        <f t="shared" si="6"/>
        <v>6</v>
      </c>
      <c r="J13" s="18">
        <f t="shared" si="6"/>
        <v>12</v>
      </c>
      <c r="K13" s="18">
        <f t="shared" si="6"/>
        <v>13</v>
      </c>
      <c r="L13" s="18">
        <f t="shared" si="6"/>
        <v>17</v>
      </c>
      <c r="M13" s="18">
        <f t="shared" si="6"/>
        <v>22</v>
      </c>
      <c r="N13" s="18">
        <f t="shared" si="6"/>
        <v>26</v>
      </c>
      <c r="O13" s="18">
        <f t="shared" si="6"/>
        <v>31</v>
      </c>
      <c r="P13" s="18">
        <f t="shared" si="6"/>
        <v>36</v>
      </c>
      <c r="Q13" s="18">
        <f t="shared" si="6"/>
        <v>41</v>
      </c>
      <c r="R13" s="18">
        <f t="shared" si="6"/>
        <v>47</v>
      </c>
      <c r="S13" s="18">
        <f t="shared" si="6"/>
        <v>52</v>
      </c>
      <c r="T13" s="18">
        <f t="shared" si="6"/>
        <v>56</v>
      </c>
      <c r="U13" s="18">
        <f t="shared" si="6"/>
        <v>63</v>
      </c>
      <c r="V13" s="18">
        <f t="shared" si="6"/>
        <v>69</v>
      </c>
      <c r="W13" s="18">
        <f t="shared" si="6"/>
        <v>76</v>
      </c>
      <c r="X13" s="18">
        <f t="shared" si="6"/>
        <v>84</v>
      </c>
      <c r="Y13" s="18">
        <f t="shared" si="6"/>
        <v>92</v>
      </c>
      <c r="Z13" s="18">
        <f t="shared" si="6"/>
        <v>100</v>
      </c>
      <c r="AA13" s="18">
        <f t="shared" si="6"/>
        <v>108</v>
      </c>
      <c r="AB13" s="18">
        <f t="shared" si="6"/>
        <v>117</v>
      </c>
      <c r="AC13" s="18">
        <f t="shared" si="6"/>
        <v>127</v>
      </c>
      <c r="AD13" s="18">
        <f t="shared" si="6"/>
        <v>136</v>
      </c>
      <c r="AE13" s="18">
        <f t="shared" si="6"/>
        <v>147</v>
      </c>
      <c r="AF13" s="18">
        <f t="shared" si="6"/>
        <v>158</v>
      </c>
      <c r="AG13" s="18">
        <f t="shared" si="6"/>
        <v>169</v>
      </c>
      <c r="AH13" s="18">
        <f t="shared" si="6"/>
        <v>181</v>
      </c>
      <c r="AI13" s="18">
        <f t="shared" si="6"/>
        <v>194</v>
      </c>
      <c r="AJ13" s="18">
        <f t="shared" si="6"/>
        <v>207</v>
      </c>
      <c r="AK13" s="18">
        <f t="shared" si="6"/>
        <v>221</v>
      </c>
    </row>
    <row r="14">
      <c r="B14" s="15" t="s">
        <v>42</v>
      </c>
      <c r="C14" s="39">
        <v>0.1</v>
      </c>
    </row>
    <row r="15">
      <c r="B15" s="15" t="s">
        <v>43</v>
      </c>
      <c r="D15" s="15">
        <v>0.0</v>
      </c>
      <c r="E15" s="18">
        <f t="shared" ref="E15:AK15" si="7">TRUNC($C14*D16)</f>
        <v>0</v>
      </c>
      <c r="F15" s="18">
        <f t="shared" si="7"/>
        <v>0</v>
      </c>
      <c r="G15" s="18">
        <f t="shared" si="7"/>
        <v>0</v>
      </c>
      <c r="H15" s="18">
        <f t="shared" si="7"/>
        <v>0</v>
      </c>
      <c r="I15" s="18">
        <f t="shared" si="7"/>
        <v>0</v>
      </c>
      <c r="J15" s="18">
        <f t="shared" si="7"/>
        <v>1</v>
      </c>
      <c r="K15" s="18">
        <f t="shared" si="7"/>
        <v>2</v>
      </c>
      <c r="L15" s="18">
        <f t="shared" si="7"/>
        <v>3</v>
      </c>
      <c r="M15" s="18">
        <f t="shared" si="7"/>
        <v>5</v>
      </c>
      <c r="N15" s="18">
        <f t="shared" si="7"/>
        <v>7</v>
      </c>
      <c r="O15" s="18">
        <f t="shared" si="7"/>
        <v>9</v>
      </c>
      <c r="P15" s="18">
        <f t="shared" si="7"/>
        <v>11</v>
      </c>
      <c r="Q15" s="18">
        <f t="shared" si="7"/>
        <v>14</v>
      </c>
      <c r="R15" s="18">
        <f t="shared" si="7"/>
        <v>17</v>
      </c>
      <c r="S15" s="18">
        <f t="shared" si="7"/>
        <v>20</v>
      </c>
      <c r="T15" s="18">
        <f t="shared" si="7"/>
        <v>24</v>
      </c>
      <c r="U15" s="18">
        <f t="shared" si="7"/>
        <v>27</v>
      </c>
      <c r="V15" s="18">
        <f t="shared" si="7"/>
        <v>31</v>
      </c>
      <c r="W15" s="18">
        <f t="shared" si="7"/>
        <v>36</v>
      </c>
      <c r="X15" s="18">
        <f t="shared" si="7"/>
        <v>40</v>
      </c>
      <c r="Y15" s="18">
        <f t="shared" si="7"/>
        <v>45</v>
      </c>
      <c r="Z15" s="18">
        <f t="shared" si="7"/>
        <v>50</v>
      </c>
      <c r="AA15" s="18">
        <f t="shared" si="7"/>
        <v>56</v>
      </c>
      <c r="AB15" s="18">
        <f t="shared" si="7"/>
        <v>61</v>
      </c>
      <c r="AC15" s="18">
        <f t="shared" si="7"/>
        <v>67</v>
      </c>
      <c r="AD15" s="18">
        <f t="shared" si="7"/>
        <v>74</v>
      </c>
      <c r="AE15" s="18">
        <f t="shared" si="7"/>
        <v>81</v>
      </c>
      <c r="AF15" s="18">
        <f t="shared" si="7"/>
        <v>88</v>
      </c>
      <c r="AG15" s="18">
        <f t="shared" si="7"/>
        <v>96</v>
      </c>
      <c r="AH15" s="18">
        <f t="shared" si="7"/>
        <v>104</v>
      </c>
      <c r="AI15" s="18">
        <f t="shared" si="7"/>
        <v>113</v>
      </c>
      <c r="AJ15" s="18">
        <f t="shared" si="7"/>
        <v>122</v>
      </c>
      <c r="AK15" s="18">
        <f t="shared" si="7"/>
        <v>131</v>
      </c>
    </row>
    <row r="16">
      <c r="B16" s="15" t="s">
        <v>44</v>
      </c>
      <c r="D16" s="15">
        <f>D13</f>
        <v>1</v>
      </c>
      <c r="E16" s="15">
        <f>E13+D16</f>
        <v>2</v>
      </c>
      <c r="F16" s="15">
        <f t="shared" ref="F16:AK16" si="8">F13+E16-E15</f>
        <v>3</v>
      </c>
      <c r="G16" s="15">
        <f t="shared" si="8"/>
        <v>5</v>
      </c>
      <c r="H16" s="15">
        <f t="shared" si="8"/>
        <v>9</v>
      </c>
      <c r="I16" s="15">
        <f t="shared" si="8"/>
        <v>15</v>
      </c>
      <c r="J16" s="15">
        <f t="shared" si="8"/>
        <v>27</v>
      </c>
      <c r="K16" s="15">
        <f t="shared" si="8"/>
        <v>39</v>
      </c>
      <c r="L16" s="15">
        <f t="shared" si="8"/>
        <v>54</v>
      </c>
      <c r="M16" s="15">
        <f t="shared" si="8"/>
        <v>73</v>
      </c>
      <c r="N16" s="15">
        <f t="shared" si="8"/>
        <v>94</v>
      </c>
      <c r="O16" s="15">
        <f t="shared" si="8"/>
        <v>118</v>
      </c>
      <c r="P16" s="15">
        <f t="shared" si="8"/>
        <v>145</v>
      </c>
      <c r="Q16" s="15">
        <f t="shared" si="8"/>
        <v>175</v>
      </c>
      <c r="R16" s="15">
        <f t="shared" si="8"/>
        <v>208</v>
      </c>
      <c r="S16" s="15">
        <f t="shared" si="8"/>
        <v>243</v>
      </c>
      <c r="T16" s="15">
        <f t="shared" si="8"/>
        <v>279</v>
      </c>
      <c r="U16" s="15">
        <f t="shared" si="8"/>
        <v>318</v>
      </c>
      <c r="V16" s="15">
        <f t="shared" si="8"/>
        <v>360</v>
      </c>
      <c r="W16" s="15">
        <f t="shared" si="8"/>
        <v>405</v>
      </c>
      <c r="X16" s="15">
        <f t="shared" si="8"/>
        <v>453</v>
      </c>
      <c r="Y16" s="15">
        <f t="shared" si="8"/>
        <v>505</v>
      </c>
      <c r="Z16" s="15">
        <f t="shared" si="8"/>
        <v>560</v>
      </c>
      <c r="AA16" s="15">
        <f t="shared" si="8"/>
        <v>618</v>
      </c>
      <c r="AB16" s="15">
        <f t="shared" si="8"/>
        <v>679</v>
      </c>
      <c r="AC16" s="15">
        <f t="shared" si="8"/>
        <v>745</v>
      </c>
      <c r="AD16" s="15">
        <f t="shared" si="8"/>
        <v>814</v>
      </c>
      <c r="AE16" s="15">
        <f t="shared" si="8"/>
        <v>887</v>
      </c>
      <c r="AF16" s="15">
        <f t="shared" si="8"/>
        <v>964</v>
      </c>
      <c r="AG16" s="15">
        <f t="shared" si="8"/>
        <v>1045</v>
      </c>
      <c r="AH16" s="15">
        <f t="shared" si="8"/>
        <v>1130</v>
      </c>
      <c r="AI16" s="15">
        <f t="shared" si="8"/>
        <v>1220</v>
      </c>
      <c r="AJ16" s="15">
        <f t="shared" si="8"/>
        <v>1314</v>
      </c>
      <c r="AK16" s="15">
        <f t="shared" si="8"/>
        <v>1413</v>
      </c>
    </row>
    <row r="18">
      <c r="A18" s="24"/>
      <c r="B18" s="24" t="s">
        <v>45</v>
      </c>
      <c r="C18" s="24"/>
      <c r="D18" s="25">
        <f t="shared" ref="D18:AK18" si="9">D25+D29</f>
        <v>15</v>
      </c>
      <c r="E18" s="25">
        <f t="shared" si="9"/>
        <v>30</v>
      </c>
      <c r="F18" s="25">
        <f t="shared" si="9"/>
        <v>45</v>
      </c>
      <c r="G18" s="25">
        <f t="shared" si="9"/>
        <v>75</v>
      </c>
      <c r="H18" s="25">
        <f t="shared" si="9"/>
        <v>135</v>
      </c>
      <c r="I18" s="25">
        <f t="shared" si="9"/>
        <v>223.5</v>
      </c>
      <c r="J18" s="25">
        <f t="shared" si="9"/>
        <v>402</v>
      </c>
      <c r="K18" s="25">
        <f t="shared" si="9"/>
        <v>580.5</v>
      </c>
      <c r="L18" s="25">
        <f t="shared" si="9"/>
        <v>802.5</v>
      </c>
      <c r="M18" s="25">
        <f t="shared" si="9"/>
        <v>1084.5</v>
      </c>
      <c r="N18" s="25">
        <f t="shared" si="9"/>
        <v>1395</v>
      </c>
      <c r="O18" s="25">
        <f t="shared" si="9"/>
        <v>1750.5</v>
      </c>
      <c r="P18" s="25">
        <f t="shared" si="9"/>
        <v>2149.5</v>
      </c>
      <c r="Q18" s="25">
        <f t="shared" si="9"/>
        <v>2593.5</v>
      </c>
      <c r="R18" s="25">
        <f t="shared" si="9"/>
        <v>3081</v>
      </c>
      <c r="S18" s="25">
        <f t="shared" si="9"/>
        <v>3598.5</v>
      </c>
      <c r="T18" s="25">
        <f t="shared" si="9"/>
        <v>4129.5</v>
      </c>
      <c r="U18" s="25">
        <f t="shared" si="9"/>
        <v>4705.5</v>
      </c>
      <c r="V18" s="25">
        <f t="shared" si="9"/>
        <v>5325</v>
      </c>
      <c r="W18" s="25">
        <f t="shared" si="9"/>
        <v>5988</v>
      </c>
      <c r="X18" s="25">
        <f t="shared" si="9"/>
        <v>6696</v>
      </c>
      <c r="Y18" s="25">
        <f t="shared" si="9"/>
        <v>7462.5</v>
      </c>
      <c r="Z18" s="25">
        <f t="shared" si="9"/>
        <v>8272.5</v>
      </c>
      <c r="AA18" s="25">
        <f t="shared" si="9"/>
        <v>9126</v>
      </c>
      <c r="AB18" s="25">
        <f t="shared" si="9"/>
        <v>10023</v>
      </c>
      <c r="AC18" s="25">
        <f t="shared" si="9"/>
        <v>10993.5</v>
      </c>
      <c r="AD18" s="25">
        <f t="shared" si="9"/>
        <v>12007.5</v>
      </c>
      <c r="AE18" s="25">
        <f t="shared" si="9"/>
        <v>13080</v>
      </c>
      <c r="AF18" s="25">
        <f t="shared" si="9"/>
        <v>14211</v>
      </c>
      <c r="AG18" s="25">
        <f t="shared" si="9"/>
        <v>15400.5</v>
      </c>
      <c r="AH18" s="25">
        <f t="shared" si="9"/>
        <v>16648.5</v>
      </c>
      <c r="AI18" s="25">
        <f t="shared" si="9"/>
        <v>17970</v>
      </c>
      <c r="AJ18" s="25">
        <f t="shared" si="9"/>
        <v>19348.5</v>
      </c>
      <c r="AK18" s="25">
        <f t="shared" si="9"/>
        <v>20800.5</v>
      </c>
    </row>
    <row r="19">
      <c r="B19" s="15" t="s">
        <v>46</v>
      </c>
      <c r="C19" s="40">
        <v>15.0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</row>
    <row r="20">
      <c r="B20" s="15" t="s">
        <v>47</v>
      </c>
      <c r="C20" s="39">
        <v>0.1</v>
      </c>
    </row>
    <row r="21">
      <c r="B21" s="15" t="s">
        <v>48</v>
      </c>
      <c r="C21" s="39">
        <v>0.1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</row>
    <row r="23">
      <c r="B23" s="15" t="s">
        <v>49</v>
      </c>
      <c r="D23" s="18">
        <f t="shared" ref="D23:AK23" si="10">ROUND(D13*(1-$C21),0)</f>
        <v>1</v>
      </c>
      <c r="E23" s="18">
        <f t="shared" si="10"/>
        <v>1</v>
      </c>
      <c r="F23" s="18">
        <f t="shared" si="10"/>
        <v>1</v>
      </c>
      <c r="G23" s="18">
        <f t="shared" si="10"/>
        <v>2</v>
      </c>
      <c r="H23" s="18">
        <f t="shared" si="10"/>
        <v>4</v>
      </c>
      <c r="I23" s="18">
        <f t="shared" si="10"/>
        <v>5</v>
      </c>
      <c r="J23" s="18">
        <f t="shared" si="10"/>
        <v>11</v>
      </c>
      <c r="K23" s="18">
        <f t="shared" si="10"/>
        <v>12</v>
      </c>
      <c r="L23" s="18">
        <f t="shared" si="10"/>
        <v>15</v>
      </c>
      <c r="M23" s="18">
        <f t="shared" si="10"/>
        <v>20</v>
      </c>
      <c r="N23" s="18">
        <f t="shared" si="10"/>
        <v>23</v>
      </c>
      <c r="O23" s="18">
        <f t="shared" si="10"/>
        <v>28</v>
      </c>
      <c r="P23" s="18">
        <f t="shared" si="10"/>
        <v>32</v>
      </c>
      <c r="Q23" s="18">
        <f t="shared" si="10"/>
        <v>37</v>
      </c>
      <c r="R23" s="18">
        <f t="shared" si="10"/>
        <v>42</v>
      </c>
      <c r="S23" s="18">
        <f t="shared" si="10"/>
        <v>47</v>
      </c>
      <c r="T23" s="18">
        <f t="shared" si="10"/>
        <v>50</v>
      </c>
      <c r="U23" s="18">
        <f t="shared" si="10"/>
        <v>57</v>
      </c>
      <c r="V23" s="18">
        <f t="shared" si="10"/>
        <v>62</v>
      </c>
      <c r="W23" s="18">
        <f t="shared" si="10"/>
        <v>68</v>
      </c>
      <c r="X23" s="18">
        <f t="shared" si="10"/>
        <v>76</v>
      </c>
      <c r="Y23" s="18">
        <f t="shared" si="10"/>
        <v>83</v>
      </c>
      <c r="Z23" s="18">
        <f t="shared" si="10"/>
        <v>90</v>
      </c>
      <c r="AA23" s="18">
        <f t="shared" si="10"/>
        <v>97</v>
      </c>
      <c r="AB23" s="18">
        <f t="shared" si="10"/>
        <v>105</v>
      </c>
      <c r="AC23" s="18">
        <f t="shared" si="10"/>
        <v>114</v>
      </c>
      <c r="AD23" s="18">
        <f t="shared" si="10"/>
        <v>122</v>
      </c>
      <c r="AE23" s="18">
        <f t="shared" si="10"/>
        <v>132</v>
      </c>
      <c r="AF23" s="18">
        <f t="shared" si="10"/>
        <v>142</v>
      </c>
      <c r="AG23" s="18">
        <f t="shared" si="10"/>
        <v>152</v>
      </c>
      <c r="AH23" s="18">
        <f t="shared" si="10"/>
        <v>163</v>
      </c>
      <c r="AI23" s="18">
        <f t="shared" si="10"/>
        <v>175</v>
      </c>
      <c r="AJ23" s="18">
        <f t="shared" si="10"/>
        <v>186</v>
      </c>
      <c r="AK23" s="18">
        <f t="shared" si="10"/>
        <v>199</v>
      </c>
    </row>
    <row r="24">
      <c r="B24" s="15" t="s">
        <v>50</v>
      </c>
      <c r="D24" s="18">
        <f>D23</f>
        <v>1</v>
      </c>
      <c r="E24" s="18">
        <f t="shared" ref="E24:AK24" si="11">E23+D24-D15</f>
        <v>2</v>
      </c>
      <c r="F24" s="18">
        <f t="shared" si="11"/>
        <v>3</v>
      </c>
      <c r="G24" s="18">
        <f t="shared" si="11"/>
        <v>5</v>
      </c>
      <c r="H24" s="18">
        <f t="shared" si="11"/>
        <v>9</v>
      </c>
      <c r="I24" s="18">
        <f t="shared" si="11"/>
        <v>14</v>
      </c>
      <c r="J24" s="18">
        <f t="shared" si="11"/>
        <v>25</v>
      </c>
      <c r="K24" s="18">
        <f t="shared" si="11"/>
        <v>36</v>
      </c>
      <c r="L24" s="18">
        <f t="shared" si="11"/>
        <v>49</v>
      </c>
      <c r="M24" s="18">
        <f t="shared" si="11"/>
        <v>66</v>
      </c>
      <c r="N24" s="18">
        <f t="shared" si="11"/>
        <v>84</v>
      </c>
      <c r="O24" s="18">
        <f t="shared" si="11"/>
        <v>105</v>
      </c>
      <c r="P24" s="18">
        <f t="shared" si="11"/>
        <v>128</v>
      </c>
      <c r="Q24" s="18">
        <f t="shared" si="11"/>
        <v>154</v>
      </c>
      <c r="R24" s="18">
        <f t="shared" si="11"/>
        <v>182</v>
      </c>
      <c r="S24" s="18">
        <f t="shared" si="11"/>
        <v>212</v>
      </c>
      <c r="T24" s="18">
        <f t="shared" si="11"/>
        <v>242</v>
      </c>
      <c r="U24" s="18">
        <f t="shared" si="11"/>
        <v>275</v>
      </c>
      <c r="V24" s="18">
        <f t="shared" si="11"/>
        <v>310</v>
      </c>
      <c r="W24" s="18">
        <f t="shared" si="11"/>
        <v>347</v>
      </c>
      <c r="X24" s="18">
        <f t="shared" si="11"/>
        <v>387</v>
      </c>
      <c r="Y24" s="18">
        <f t="shared" si="11"/>
        <v>430</v>
      </c>
      <c r="Z24" s="18">
        <f t="shared" si="11"/>
        <v>475</v>
      </c>
      <c r="AA24" s="18">
        <f t="shared" si="11"/>
        <v>522</v>
      </c>
      <c r="AB24" s="18">
        <f t="shared" si="11"/>
        <v>571</v>
      </c>
      <c r="AC24" s="18">
        <f t="shared" si="11"/>
        <v>624</v>
      </c>
      <c r="AD24" s="18">
        <f t="shared" si="11"/>
        <v>679</v>
      </c>
      <c r="AE24" s="18">
        <f t="shared" si="11"/>
        <v>737</v>
      </c>
      <c r="AF24" s="18">
        <f t="shared" si="11"/>
        <v>798</v>
      </c>
      <c r="AG24" s="18">
        <f t="shared" si="11"/>
        <v>862</v>
      </c>
      <c r="AH24" s="18">
        <f t="shared" si="11"/>
        <v>929</v>
      </c>
      <c r="AI24" s="18">
        <f t="shared" si="11"/>
        <v>1000</v>
      </c>
      <c r="AJ24" s="18">
        <f t="shared" si="11"/>
        <v>1073</v>
      </c>
      <c r="AK24" s="18">
        <f t="shared" si="11"/>
        <v>1150</v>
      </c>
    </row>
    <row r="25">
      <c r="B25" s="15" t="s">
        <v>51</v>
      </c>
      <c r="D25" s="16">
        <f t="shared" ref="D25:AK25" si="12">D24*$C19</f>
        <v>15</v>
      </c>
      <c r="E25" s="16">
        <f t="shared" si="12"/>
        <v>30</v>
      </c>
      <c r="F25" s="16">
        <f t="shared" si="12"/>
        <v>45</v>
      </c>
      <c r="G25" s="16">
        <f t="shared" si="12"/>
        <v>75</v>
      </c>
      <c r="H25" s="16">
        <f t="shared" si="12"/>
        <v>135</v>
      </c>
      <c r="I25" s="16">
        <f t="shared" si="12"/>
        <v>210</v>
      </c>
      <c r="J25" s="16">
        <f t="shared" si="12"/>
        <v>375</v>
      </c>
      <c r="K25" s="16">
        <f t="shared" si="12"/>
        <v>540</v>
      </c>
      <c r="L25" s="16">
        <f t="shared" si="12"/>
        <v>735</v>
      </c>
      <c r="M25" s="16">
        <f t="shared" si="12"/>
        <v>990</v>
      </c>
      <c r="N25" s="16">
        <f t="shared" si="12"/>
        <v>1260</v>
      </c>
      <c r="O25" s="16">
        <f t="shared" si="12"/>
        <v>1575</v>
      </c>
      <c r="P25" s="16">
        <f t="shared" si="12"/>
        <v>1920</v>
      </c>
      <c r="Q25" s="16">
        <f t="shared" si="12"/>
        <v>2310</v>
      </c>
      <c r="R25" s="16">
        <f t="shared" si="12"/>
        <v>2730</v>
      </c>
      <c r="S25" s="16">
        <f t="shared" si="12"/>
        <v>3180</v>
      </c>
      <c r="T25" s="16">
        <f t="shared" si="12"/>
        <v>3630</v>
      </c>
      <c r="U25" s="16">
        <f t="shared" si="12"/>
        <v>4125</v>
      </c>
      <c r="V25" s="16">
        <f t="shared" si="12"/>
        <v>4650</v>
      </c>
      <c r="W25" s="16">
        <f t="shared" si="12"/>
        <v>5205</v>
      </c>
      <c r="X25" s="16">
        <f t="shared" si="12"/>
        <v>5805</v>
      </c>
      <c r="Y25" s="16">
        <f t="shared" si="12"/>
        <v>6450</v>
      </c>
      <c r="Z25" s="16">
        <f t="shared" si="12"/>
        <v>7125</v>
      </c>
      <c r="AA25" s="16">
        <f t="shared" si="12"/>
        <v>7830</v>
      </c>
      <c r="AB25" s="16">
        <f t="shared" si="12"/>
        <v>8565</v>
      </c>
      <c r="AC25" s="16">
        <f t="shared" si="12"/>
        <v>9360</v>
      </c>
      <c r="AD25" s="16">
        <f t="shared" si="12"/>
        <v>10185</v>
      </c>
      <c r="AE25" s="16">
        <f t="shared" si="12"/>
        <v>11055</v>
      </c>
      <c r="AF25" s="16">
        <f t="shared" si="12"/>
        <v>11970</v>
      </c>
      <c r="AG25" s="16">
        <f t="shared" si="12"/>
        <v>12930</v>
      </c>
      <c r="AH25" s="16">
        <f t="shared" si="12"/>
        <v>13935</v>
      </c>
      <c r="AI25" s="16">
        <f t="shared" si="12"/>
        <v>15000</v>
      </c>
      <c r="AJ25" s="16">
        <f t="shared" si="12"/>
        <v>16095</v>
      </c>
      <c r="AK25" s="16">
        <f t="shared" si="12"/>
        <v>17250</v>
      </c>
    </row>
    <row r="27" ht="16.5" customHeight="1">
      <c r="B27" s="15" t="s">
        <v>52</v>
      </c>
      <c r="D27" s="18">
        <f t="shared" ref="D27:AK27" si="13">ROUND(D13*$C21-0.1,0)</f>
        <v>0</v>
      </c>
      <c r="E27" s="18">
        <f t="shared" si="13"/>
        <v>0</v>
      </c>
      <c r="F27" s="18">
        <f t="shared" si="13"/>
        <v>0</v>
      </c>
      <c r="G27" s="18">
        <f t="shared" si="13"/>
        <v>0</v>
      </c>
      <c r="H27" s="18">
        <f t="shared" si="13"/>
        <v>0</v>
      </c>
      <c r="I27" s="18">
        <f t="shared" si="13"/>
        <v>1</v>
      </c>
      <c r="J27" s="18">
        <f t="shared" si="13"/>
        <v>1</v>
      </c>
      <c r="K27" s="18">
        <f t="shared" si="13"/>
        <v>1</v>
      </c>
      <c r="L27" s="18">
        <f t="shared" si="13"/>
        <v>2</v>
      </c>
      <c r="M27" s="18">
        <f t="shared" si="13"/>
        <v>2</v>
      </c>
      <c r="N27" s="18">
        <f t="shared" si="13"/>
        <v>3</v>
      </c>
      <c r="O27" s="18">
        <f t="shared" si="13"/>
        <v>3</v>
      </c>
      <c r="P27" s="18">
        <f t="shared" si="13"/>
        <v>4</v>
      </c>
      <c r="Q27" s="18">
        <f t="shared" si="13"/>
        <v>4</v>
      </c>
      <c r="R27" s="18">
        <f t="shared" si="13"/>
        <v>5</v>
      </c>
      <c r="S27" s="18">
        <f t="shared" si="13"/>
        <v>5</v>
      </c>
      <c r="T27" s="18">
        <f t="shared" si="13"/>
        <v>6</v>
      </c>
      <c r="U27" s="18">
        <f t="shared" si="13"/>
        <v>6</v>
      </c>
      <c r="V27" s="18">
        <f t="shared" si="13"/>
        <v>7</v>
      </c>
      <c r="W27" s="18">
        <f t="shared" si="13"/>
        <v>8</v>
      </c>
      <c r="X27" s="18">
        <f t="shared" si="13"/>
        <v>8</v>
      </c>
      <c r="Y27" s="18">
        <f t="shared" si="13"/>
        <v>9</v>
      </c>
      <c r="Z27" s="18">
        <f t="shared" si="13"/>
        <v>10</v>
      </c>
      <c r="AA27" s="18">
        <f t="shared" si="13"/>
        <v>11</v>
      </c>
      <c r="AB27" s="18">
        <f t="shared" si="13"/>
        <v>12</v>
      </c>
      <c r="AC27" s="18">
        <f t="shared" si="13"/>
        <v>13</v>
      </c>
      <c r="AD27" s="18">
        <f t="shared" si="13"/>
        <v>14</v>
      </c>
      <c r="AE27" s="18">
        <f t="shared" si="13"/>
        <v>15</v>
      </c>
      <c r="AF27" s="18">
        <f t="shared" si="13"/>
        <v>16</v>
      </c>
      <c r="AG27" s="18">
        <f t="shared" si="13"/>
        <v>17</v>
      </c>
      <c r="AH27" s="18">
        <f t="shared" si="13"/>
        <v>18</v>
      </c>
      <c r="AI27" s="18">
        <f t="shared" si="13"/>
        <v>19</v>
      </c>
      <c r="AJ27" s="18">
        <f t="shared" si="13"/>
        <v>21</v>
      </c>
      <c r="AK27" s="18">
        <f t="shared" si="13"/>
        <v>22</v>
      </c>
    </row>
    <row r="28">
      <c r="B28" s="15" t="s">
        <v>53</v>
      </c>
      <c r="D28" s="18">
        <f>D27</f>
        <v>0</v>
      </c>
      <c r="E28" s="18">
        <f t="shared" ref="E28:AK28" si="14">D28+E27</f>
        <v>0</v>
      </c>
      <c r="F28" s="18">
        <f t="shared" si="14"/>
        <v>0</v>
      </c>
      <c r="G28" s="18">
        <f t="shared" si="14"/>
        <v>0</v>
      </c>
      <c r="H28" s="18">
        <f t="shared" si="14"/>
        <v>0</v>
      </c>
      <c r="I28" s="18">
        <f t="shared" si="14"/>
        <v>1</v>
      </c>
      <c r="J28" s="18">
        <f t="shared" si="14"/>
        <v>2</v>
      </c>
      <c r="K28" s="18">
        <f t="shared" si="14"/>
        <v>3</v>
      </c>
      <c r="L28" s="18">
        <f t="shared" si="14"/>
        <v>5</v>
      </c>
      <c r="M28" s="18">
        <f t="shared" si="14"/>
        <v>7</v>
      </c>
      <c r="N28" s="18">
        <f t="shared" si="14"/>
        <v>10</v>
      </c>
      <c r="O28" s="18">
        <f t="shared" si="14"/>
        <v>13</v>
      </c>
      <c r="P28" s="18">
        <f t="shared" si="14"/>
        <v>17</v>
      </c>
      <c r="Q28" s="18">
        <f t="shared" si="14"/>
        <v>21</v>
      </c>
      <c r="R28" s="18">
        <f t="shared" si="14"/>
        <v>26</v>
      </c>
      <c r="S28" s="18">
        <f t="shared" si="14"/>
        <v>31</v>
      </c>
      <c r="T28" s="18">
        <f t="shared" si="14"/>
        <v>37</v>
      </c>
      <c r="U28" s="18">
        <f t="shared" si="14"/>
        <v>43</v>
      </c>
      <c r="V28" s="18">
        <f t="shared" si="14"/>
        <v>50</v>
      </c>
      <c r="W28" s="18">
        <f t="shared" si="14"/>
        <v>58</v>
      </c>
      <c r="X28" s="18">
        <f t="shared" si="14"/>
        <v>66</v>
      </c>
      <c r="Y28" s="18">
        <f t="shared" si="14"/>
        <v>75</v>
      </c>
      <c r="Z28" s="18">
        <f t="shared" si="14"/>
        <v>85</v>
      </c>
      <c r="AA28" s="18">
        <f t="shared" si="14"/>
        <v>96</v>
      </c>
      <c r="AB28" s="18">
        <f t="shared" si="14"/>
        <v>108</v>
      </c>
      <c r="AC28" s="18">
        <f t="shared" si="14"/>
        <v>121</v>
      </c>
      <c r="AD28" s="18">
        <f t="shared" si="14"/>
        <v>135</v>
      </c>
      <c r="AE28" s="18">
        <f t="shared" si="14"/>
        <v>150</v>
      </c>
      <c r="AF28" s="18">
        <f t="shared" si="14"/>
        <v>166</v>
      </c>
      <c r="AG28" s="18">
        <f t="shared" si="14"/>
        <v>183</v>
      </c>
      <c r="AH28" s="18">
        <f t="shared" si="14"/>
        <v>201</v>
      </c>
      <c r="AI28" s="18">
        <f t="shared" si="14"/>
        <v>220</v>
      </c>
      <c r="AJ28" s="18">
        <f t="shared" si="14"/>
        <v>241</v>
      </c>
      <c r="AK28" s="18">
        <f t="shared" si="14"/>
        <v>263</v>
      </c>
    </row>
    <row r="29">
      <c r="B29" s="15" t="s">
        <v>54</v>
      </c>
      <c r="C29" s="36" t="s">
        <v>55</v>
      </c>
      <c r="D29" s="16">
        <f t="shared" ref="D29:AK29" si="15">D28*$C19*(1-$C21)</f>
        <v>0</v>
      </c>
      <c r="E29" s="16">
        <f t="shared" si="15"/>
        <v>0</v>
      </c>
      <c r="F29" s="16">
        <f t="shared" si="15"/>
        <v>0</v>
      </c>
      <c r="G29" s="16">
        <f t="shared" si="15"/>
        <v>0</v>
      </c>
      <c r="H29" s="16">
        <f t="shared" si="15"/>
        <v>0</v>
      </c>
      <c r="I29" s="16">
        <f t="shared" si="15"/>
        <v>13.5</v>
      </c>
      <c r="J29" s="16">
        <f t="shared" si="15"/>
        <v>27</v>
      </c>
      <c r="K29" s="16">
        <f t="shared" si="15"/>
        <v>40.5</v>
      </c>
      <c r="L29" s="16">
        <f t="shared" si="15"/>
        <v>67.5</v>
      </c>
      <c r="M29" s="16">
        <f t="shared" si="15"/>
        <v>94.5</v>
      </c>
      <c r="N29" s="16">
        <f t="shared" si="15"/>
        <v>135</v>
      </c>
      <c r="O29" s="16">
        <f t="shared" si="15"/>
        <v>175.5</v>
      </c>
      <c r="P29" s="16">
        <f t="shared" si="15"/>
        <v>229.5</v>
      </c>
      <c r="Q29" s="16">
        <f t="shared" si="15"/>
        <v>283.5</v>
      </c>
      <c r="R29" s="16">
        <f t="shared" si="15"/>
        <v>351</v>
      </c>
      <c r="S29" s="16">
        <f t="shared" si="15"/>
        <v>418.5</v>
      </c>
      <c r="T29" s="16">
        <f t="shared" si="15"/>
        <v>499.5</v>
      </c>
      <c r="U29" s="16">
        <f t="shared" si="15"/>
        <v>580.5</v>
      </c>
      <c r="V29" s="16">
        <f t="shared" si="15"/>
        <v>675</v>
      </c>
      <c r="W29" s="16">
        <f t="shared" si="15"/>
        <v>783</v>
      </c>
      <c r="X29" s="16">
        <f t="shared" si="15"/>
        <v>891</v>
      </c>
      <c r="Y29" s="16">
        <f t="shared" si="15"/>
        <v>1012.5</v>
      </c>
      <c r="Z29" s="16">
        <f t="shared" si="15"/>
        <v>1147.5</v>
      </c>
      <c r="AA29" s="16">
        <f t="shared" si="15"/>
        <v>1296</v>
      </c>
      <c r="AB29" s="16">
        <f t="shared" si="15"/>
        <v>1458</v>
      </c>
      <c r="AC29" s="16">
        <f t="shared" si="15"/>
        <v>1633.5</v>
      </c>
      <c r="AD29" s="16">
        <f t="shared" si="15"/>
        <v>1822.5</v>
      </c>
      <c r="AE29" s="16">
        <f t="shared" si="15"/>
        <v>2025</v>
      </c>
      <c r="AF29" s="16">
        <f t="shared" si="15"/>
        <v>2241</v>
      </c>
      <c r="AG29" s="16">
        <f t="shared" si="15"/>
        <v>2470.5</v>
      </c>
      <c r="AH29" s="16">
        <f t="shared" si="15"/>
        <v>2713.5</v>
      </c>
      <c r="AI29" s="16">
        <f t="shared" si="15"/>
        <v>2970</v>
      </c>
      <c r="AJ29" s="16">
        <f t="shared" si="15"/>
        <v>3253.5</v>
      </c>
      <c r="AK29" s="16">
        <f t="shared" si="15"/>
        <v>3550.5</v>
      </c>
    </row>
    <row r="30">
      <c r="B30" s="15"/>
    </row>
    <row r="31">
      <c r="B31" s="41" t="s">
        <v>56</v>
      </c>
      <c r="C31" s="42"/>
      <c r="D31" s="42">
        <f t="shared" ref="D31:AK31" si="16">D28+D24</f>
        <v>1</v>
      </c>
      <c r="E31" s="42">
        <f t="shared" si="16"/>
        <v>2</v>
      </c>
      <c r="F31" s="42">
        <f t="shared" si="16"/>
        <v>3</v>
      </c>
      <c r="G31" s="42">
        <f t="shared" si="16"/>
        <v>5</v>
      </c>
      <c r="H31" s="42">
        <f t="shared" si="16"/>
        <v>9</v>
      </c>
      <c r="I31" s="42">
        <f t="shared" si="16"/>
        <v>15</v>
      </c>
      <c r="J31" s="42">
        <f t="shared" si="16"/>
        <v>27</v>
      </c>
      <c r="K31" s="42">
        <f t="shared" si="16"/>
        <v>39</v>
      </c>
      <c r="L31" s="42">
        <f t="shared" si="16"/>
        <v>54</v>
      </c>
      <c r="M31" s="42">
        <f t="shared" si="16"/>
        <v>73</v>
      </c>
      <c r="N31" s="42">
        <f t="shared" si="16"/>
        <v>94</v>
      </c>
      <c r="O31" s="42">
        <f t="shared" si="16"/>
        <v>118</v>
      </c>
      <c r="P31" s="42">
        <f t="shared" si="16"/>
        <v>145</v>
      </c>
      <c r="Q31" s="42">
        <f t="shared" si="16"/>
        <v>175</v>
      </c>
      <c r="R31" s="42">
        <f t="shared" si="16"/>
        <v>208</v>
      </c>
      <c r="S31" s="42">
        <f t="shared" si="16"/>
        <v>243</v>
      </c>
      <c r="T31" s="42">
        <f t="shared" si="16"/>
        <v>279</v>
      </c>
      <c r="U31" s="42">
        <f t="shared" si="16"/>
        <v>318</v>
      </c>
      <c r="V31" s="42">
        <f t="shared" si="16"/>
        <v>360</v>
      </c>
      <c r="W31" s="42">
        <f t="shared" si="16"/>
        <v>405</v>
      </c>
      <c r="X31" s="42">
        <f t="shared" si="16"/>
        <v>453</v>
      </c>
      <c r="Y31" s="42">
        <f t="shared" si="16"/>
        <v>505</v>
      </c>
      <c r="Z31" s="42">
        <f t="shared" si="16"/>
        <v>560</v>
      </c>
      <c r="AA31" s="42">
        <f t="shared" si="16"/>
        <v>618</v>
      </c>
      <c r="AB31" s="42">
        <f t="shared" si="16"/>
        <v>679</v>
      </c>
      <c r="AC31" s="42">
        <f t="shared" si="16"/>
        <v>745</v>
      </c>
      <c r="AD31" s="42">
        <f t="shared" si="16"/>
        <v>814</v>
      </c>
      <c r="AE31" s="42">
        <f t="shared" si="16"/>
        <v>887</v>
      </c>
      <c r="AF31" s="42">
        <f t="shared" si="16"/>
        <v>964</v>
      </c>
      <c r="AG31" s="42">
        <f t="shared" si="16"/>
        <v>1045</v>
      </c>
      <c r="AH31" s="42">
        <f t="shared" si="16"/>
        <v>1130</v>
      </c>
      <c r="AI31" s="42">
        <f t="shared" si="16"/>
        <v>1220</v>
      </c>
      <c r="AJ31" s="42">
        <f t="shared" si="16"/>
        <v>1314</v>
      </c>
      <c r="AK31" s="42">
        <f t="shared" si="16"/>
        <v>1413</v>
      </c>
    </row>
    <row r="33">
      <c r="B33" s="15" t="s">
        <v>57</v>
      </c>
      <c r="D33" s="43">
        <f t="shared" ref="D33:AK33" si="17">$C19*D24</f>
        <v>15</v>
      </c>
      <c r="E33" s="43">
        <f t="shared" si="17"/>
        <v>30</v>
      </c>
      <c r="F33" s="43">
        <f t="shared" si="17"/>
        <v>45</v>
      </c>
      <c r="G33" s="43">
        <f t="shared" si="17"/>
        <v>75</v>
      </c>
      <c r="H33" s="43">
        <f t="shared" si="17"/>
        <v>135</v>
      </c>
      <c r="I33" s="43">
        <f t="shared" si="17"/>
        <v>210</v>
      </c>
      <c r="J33" s="43">
        <f t="shared" si="17"/>
        <v>375</v>
      </c>
      <c r="K33" s="43">
        <f t="shared" si="17"/>
        <v>540</v>
      </c>
      <c r="L33" s="43">
        <f t="shared" si="17"/>
        <v>735</v>
      </c>
      <c r="M33" s="43">
        <f t="shared" si="17"/>
        <v>990</v>
      </c>
      <c r="N33" s="43">
        <f t="shared" si="17"/>
        <v>1260</v>
      </c>
      <c r="O33" s="43">
        <f t="shared" si="17"/>
        <v>1575</v>
      </c>
      <c r="P33" s="43">
        <f t="shared" si="17"/>
        <v>1920</v>
      </c>
      <c r="Q33" s="43">
        <f t="shared" si="17"/>
        <v>2310</v>
      </c>
      <c r="R33" s="43">
        <f t="shared" si="17"/>
        <v>2730</v>
      </c>
      <c r="S33" s="43">
        <f t="shared" si="17"/>
        <v>3180</v>
      </c>
      <c r="T33" s="43">
        <f t="shared" si="17"/>
        <v>3630</v>
      </c>
      <c r="U33" s="43">
        <f t="shared" si="17"/>
        <v>4125</v>
      </c>
      <c r="V33" s="43">
        <f t="shared" si="17"/>
        <v>4650</v>
      </c>
      <c r="W33" s="43">
        <f t="shared" si="17"/>
        <v>5205</v>
      </c>
      <c r="X33" s="43">
        <f t="shared" si="17"/>
        <v>5805</v>
      </c>
      <c r="Y33" s="43">
        <f t="shared" si="17"/>
        <v>6450</v>
      </c>
      <c r="Z33" s="43">
        <f t="shared" si="17"/>
        <v>7125</v>
      </c>
      <c r="AA33" s="43">
        <f t="shared" si="17"/>
        <v>7830</v>
      </c>
      <c r="AB33" s="43">
        <f t="shared" si="17"/>
        <v>8565</v>
      </c>
      <c r="AC33" s="43">
        <f t="shared" si="17"/>
        <v>9360</v>
      </c>
      <c r="AD33" s="43">
        <f t="shared" si="17"/>
        <v>10185</v>
      </c>
      <c r="AE33" s="43">
        <f t="shared" si="17"/>
        <v>11055</v>
      </c>
      <c r="AF33" s="43">
        <f t="shared" si="17"/>
        <v>11970</v>
      </c>
      <c r="AG33" s="43">
        <f t="shared" si="17"/>
        <v>12930</v>
      </c>
      <c r="AH33" s="43">
        <f t="shared" si="17"/>
        <v>13935</v>
      </c>
      <c r="AI33" s="43">
        <f t="shared" si="17"/>
        <v>15000</v>
      </c>
      <c r="AJ33" s="43">
        <f t="shared" si="17"/>
        <v>16095</v>
      </c>
      <c r="AK33" s="43">
        <f t="shared" si="17"/>
        <v>17250</v>
      </c>
    </row>
    <row r="34">
      <c r="B34" s="15" t="s">
        <v>58</v>
      </c>
      <c r="D34" s="16">
        <f t="shared" ref="D34:O34" si="18">$C19*12*D27*(1-$C20)</f>
        <v>0</v>
      </c>
      <c r="E34" s="16">
        <f t="shared" si="18"/>
        <v>0</v>
      </c>
      <c r="F34" s="16">
        <f t="shared" si="18"/>
        <v>0</v>
      </c>
      <c r="G34" s="16">
        <f t="shared" si="18"/>
        <v>0</v>
      </c>
      <c r="H34" s="16">
        <f t="shared" si="18"/>
        <v>0</v>
      </c>
      <c r="I34" s="16">
        <f t="shared" si="18"/>
        <v>162</v>
      </c>
      <c r="J34" s="16">
        <f t="shared" si="18"/>
        <v>162</v>
      </c>
      <c r="K34" s="16">
        <f t="shared" si="18"/>
        <v>162</v>
      </c>
      <c r="L34" s="16">
        <f t="shared" si="18"/>
        <v>324</v>
      </c>
      <c r="M34" s="16">
        <f t="shared" si="18"/>
        <v>324</v>
      </c>
      <c r="N34" s="16">
        <f t="shared" si="18"/>
        <v>486</v>
      </c>
      <c r="O34" s="16">
        <f t="shared" si="18"/>
        <v>486</v>
      </c>
      <c r="P34" s="16">
        <f t="shared" ref="P34:AK34" si="19">$C19*12*P27*(1-$C20)+D34</f>
        <v>648</v>
      </c>
      <c r="Q34" s="16">
        <f t="shared" si="19"/>
        <v>648</v>
      </c>
      <c r="R34" s="16">
        <f t="shared" si="19"/>
        <v>810</v>
      </c>
      <c r="S34" s="16">
        <f t="shared" si="19"/>
        <v>810</v>
      </c>
      <c r="T34" s="16">
        <f t="shared" si="19"/>
        <v>972</v>
      </c>
      <c r="U34" s="16">
        <f t="shared" si="19"/>
        <v>1134</v>
      </c>
      <c r="V34" s="16">
        <f t="shared" si="19"/>
        <v>1296</v>
      </c>
      <c r="W34" s="16">
        <f t="shared" si="19"/>
        <v>1458</v>
      </c>
      <c r="X34" s="16">
        <f t="shared" si="19"/>
        <v>1620</v>
      </c>
      <c r="Y34" s="16">
        <f t="shared" si="19"/>
        <v>1782</v>
      </c>
      <c r="Z34" s="16">
        <f t="shared" si="19"/>
        <v>2106</v>
      </c>
      <c r="AA34" s="16">
        <f t="shared" si="19"/>
        <v>2268</v>
      </c>
      <c r="AB34" s="16">
        <f t="shared" si="19"/>
        <v>2592</v>
      </c>
      <c r="AC34" s="16">
        <f t="shared" si="19"/>
        <v>2754</v>
      </c>
      <c r="AD34" s="16">
        <f t="shared" si="19"/>
        <v>3078</v>
      </c>
      <c r="AE34" s="16">
        <f t="shared" si="19"/>
        <v>3240</v>
      </c>
      <c r="AF34" s="16">
        <f t="shared" si="19"/>
        <v>3564</v>
      </c>
      <c r="AG34" s="16">
        <f t="shared" si="19"/>
        <v>3888</v>
      </c>
      <c r="AH34" s="16">
        <f t="shared" si="19"/>
        <v>4212</v>
      </c>
      <c r="AI34" s="16">
        <f t="shared" si="19"/>
        <v>4536</v>
      </c>
      <c r="AJ34" s="16">
        <f t="shared" si="19"/>
        <v>5022</v>
      </c>
      <c r="AK34" s="16">
        <f t="shared" si="19"/>
        <v>5346</v>
      </c>
    </row>
    <row r="36">
      <c r="B36" s="44" t="s">
        <v>59</v>
      </c>
      <c r="C36" s="45"/>
      <c r="D36" s="46">
        <f>Kosten!E9</f>
        <v>3.75</v>
      </c>
      <c r="E36" s="46">
        <f>Kosten!F9</f>
        <v>7.5</v>
      </c>
      <c r="F36" s="46">
        <f>Kosten!G9</f>
        <v>11.25</v>
      </c>
      <c r="G36" s="46">
        <f>Kosten!H9</f>
        <v>18.75</v>
      </c>
      <c r="H36" s="46">
        <f>Kosten!I9</f>
        <v>33.75</v>
      </c>
      <c r="I36" s="46">
        <f>Kosten!J9</f>
        <v>55.875</v>
      </c>
      <c r="J36" s="46">
        <f>Kosten!K9</f>
        <v>100.5</v>
      </c>
      <c r="K36" s="46">
        <f>Kosten!L9</f>
        <v>145.125</v>
      </c>
      <c r="L36" s="46">
        <f>Kosten!M9</f>
        <v>200.625</v>
      </c>
      <c r="M36" s="46">
        <f>Kosten!N9</f>
        <v>271.125</v>
      </c>
      <c r="N36" s="46">
        <f>Kosten!O9</f>
        <v>348.75</v>
      </c>
      <c r="O36" s="46">
        <f>Kosten!P9</f>
        <v>437.625</v>
      </c>
      <c r="P36" s="46">
        <f>Kosten!Q9</f>
        <v>537.375</v>
      </c>
      <c r="Q36" s="46">
        <f>Kosten!R9</f>
        <v>648.375</v>
      </c>
      <c r="R36" s="46">
        <f>Kosten!S9</f>
        <v>770.25</v>
      </c>
      <c r="S36" s="46">
        <f>Kosten!T9</f>
        <v>899.625</v>
      </c>
      <c r="T36" s="46">
        <f>Kosten!U9</f>
        <v>1032.375</v>
      </c>
      <c r="U36" s="46">
        <f>Kosten!V9</f>
        <v>1176.375</v>
      </c>
      <c r="V36" s="46">
        <f>Kosten!W9</f>
        <v>1331.25</v>
      </c>
      <c r="W36" s="46">
        <f>Kosten!X9</f>
        <v>1497</v>
      </c>
      <c r="X36" s="46">
        <f>Kosten!Y9</f>
        <v>1674</v>
      </c>
      <c r="Y36" s="46">
        <f>Kosten!Z9</f>
        <v>1865.625</v>
      </c>
      <c r="Z36" s="46">
        <f>Kosten!AA9</f>
        <v>2068.125</v>
      </c>
      <c r="AA36" s="46">
        <f>Kosten!AB9</f>
        <v>2281.5</v>
      </c>
      <c r="AB36" s="46">
        <f>Kosten!AC9</f>
        <v>2505.75</v>
      </c>
      <c r="AC36" s="46">
        <f>Kosten!AD9</f>
        <v>2748.375</v>
      </c>
      <c r="AD36" s="46">
        <f>Kosten!AE9</f>
        <v>3001.875</v>
      </c>
      <c r="AE36" s="46">
        <f>Kosten!AF9</f>
        <v>3270</v>
      </c>
      <c r="AF36" s="46">
        <f>Kosten!AG9</f>
        <v>3552.75</v>
      </c>
      <c r="AG36" s="46">
        <f>Kosten!AH9</f>
        <v>3850.125</v>
      </c>
      <c r="AH36" s="46">
        <f>Kosten!AI9</f>
        <v>4162.125</v>
      </c>
      <c r="AI36" s="46">
        <f>Kosten!AJ9</f>
        <v>4492.5</v>
      </c>
      <c r="AJ36" s="46">
        <f>Kosten!AK9</f>
        <v>4837.125</v>
      </c>
      <c r="AK36" s="46">
        <f>Kosten!AL9</f>
        <v>5200.125</v>
      </c>
    </row>
    <row r="38">
      <c r="A38" s="24"/>
      <c r="B38" s="24" t="s">
        <v>60</v>
      </c>
      <c r="C38" s="23"/>
      <c r="D38" s="25">
        <f t="shared" ref="D38:AK38" si="20">D40*$C39</f>
        <v>0</v>
      </c>
      <c r="E38" s="25">
        <f t="shared" si="20"/>
        <v>0</v>
      </c>
      <c r="F38" s="25">
        <f t="shared" si="20"/>
        <v>0</v>
      </c>
      <c r="G38" s="25">
        <f t="shared" si="20"/>
        <v>0</v>
      </c>
      <c r="H38" s="25">
        <f t="shared" si="20"/>
        <v>200</v>
      </c>
      <c r="I38" s="25">
        <f t="shared" si="20"/>
        <v>300</v>
      </c>
      <c r="J38" s="25">
        <f t="shared" si="20"/>
        <v>500</v>
      </c>
      <c r="K38" s="25">
        <f t="shared" si="20"/>
        <v>800</v>
      </c>
      <c r="L38" s="25">
        <f t="shared" si="20"/>
        <v>1100</v>
      </c>
      <c r="M38" s="25">
        <f t="shared" si="20"/>
        <v>1500</v>
      </c>
      <c r="N38" s="25">
        <f t="shared" si="20"/>
        <v>1900</v>
      </c>
      <c r="O38" s="25">
        <f t="shared" si="20"/>
        <v>2400</v>
      </c>
      <c r="P38" s="25">
        <f t="shared" si="20"/>
        <v>2900</v>
      </c>
      <c r="Q38" s="25">
        <f t="shared" si="20"/>
        <v>3500</v>
      </c>
      <c r="R38" s="25">
        <f t="shared" si="20"/>
        <v>4200</v>
      </c>
      <c r="S38" s="25">
        <f t="shared" si="20"/>
        <v>4900</v>
      </c>
      <c r="T38" s="25">
        <f t="shared" si="20"/>
        <v>5600</v>
      </c>
      <c r="U38" s="25">
        <f t="shared" si="20"/>
        <v>6400</v>
      </c>
      <c r="V38" s="25">
        <f t="shared" si="20"/>
        <v>7200</v>
      </c>
      <c r="W38" s="25">
        <f t="shared" si="20"/>
        <v>8100</v>
      </c>
      <c r="X38" s="25">
        <f t="shared" si="20"/>
        <v>9100</v>
      </c>
      <c r="Y38" s="25">
        <f t="shared" si="20"/>
        <v>10100</v>
      </c>
      <c r="Z38" s="25">
        <f t="shared" si="20"/>
        <v>11200</v>
      </c>
      <c r="AA38" s="25">
        <f t="shared" si="20"/>
        <v>12400</v>
      </c>
      <c r="AB38" s="25">
        <f t="shared" si="20"/>
        <v>13600</v>
      </c>
      <c r="AC38" s="25">
        <f t="shared" si="20"/>
        <v>14900</v>
      </c>
      <c r="AD38" s="25">
        <f t="shared" si="20"/>
        <v>16300</v>
      </c>
      <c r="AE38" s="25">
        <f t="shared" si="20"/>
        <v>17700</v>
      </c>
      <c r="AF38" s="25">
        <f t="shared" si="20"/>
        <v>19300</v>
      </c>
      <c r="AG38" s="25">
        <f t="shared" si="20"/>
        <v>20900</v>
      </c>
      <c r="AH38" s="25">
        <f t="shared" si="20"/>
        <v>22600</v>
      </c>
      <c r="AI38" s="25">
        <f t="shared" si="20"/>
        <v>24400</v>
      </c>
      <c r="AJ38" s="25">
        <f t="shared" si="20"/>
        <v>26300</v>
      </c>
      <c r="AK38" s="25">
        <f t="shared" si="20"/>
        <v>28300</v>
      </c>
    </row>
    <row r="39">
      <c r="B39" s="15" t="s">
        <v>61</v>
      </c>
      <c r="C39" s="40">
        <v>100.0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>
      <c r="B40" s="15" t="s">
        <v>62</v>
      </c>
      <c r="D40" s="35">
        <f t="shared" ref="D40:E40" si="21">ROUND(D16*$C41,0)</f>
        <v>0</v>
      </c>
      <c r="E40" s="35">
        <f t="shared" si="21"/>
        <v>0</v>
      </c>
      <c r="F40" s="35">
        <v>0.0</v>
      </c>
      <c r="G40" s="35">
        <v>0.0</v>
      </c>
      <c r="H40" s="15">
        <f t="shared" ref="H40:AK40" si="22">ROUND(H16*$C41,0)</f>
        <v>2</v>
      </c>
      <c r="I40" s="15">
        <f t="shared" si="22"/>
        <v>3</v>
      </c>
      <c r="J40" s="15">
        <f t="shared" si="22"/>
        <v>5</v>
      </c>
      <c r="K40" s="15">
        <f t="shared" si="22"/>
        <v>8</v>
      </c>
      <c r="L40" s="15">
        <f t="shared" si="22"/>
        <v>11</v>
      </c>
      <c r="M40" s="15">
        <f t="shared" si="22"/>
        <v>15</v>
      </c>
      <c r="N40" s="15">
        <f t="shared" si="22"/>
        <v>19</v>
      </c>
      <c r="O40" s="15">
        <f t="shared" si="22"/>
        <v>24</v>
      </c>
      <c r="P40" s="15">
        <f t="shared" si="22"/>
        <v>29</v>
      </c>
      <c r="Q40" s="15">
        <f t="shared" si="22"/>
        <v>35</v>
      </c>
      <c r="R40" s="15">
        <f t="shared" si="22"/>
        <v>42</v>
      </c>
      <c r="S40" s="15">
        <f t="shared" si="22"/>
        <v>49</v>
      </c>
      <c r="T40" s="15">
        <f t="shared" si="22"/>
        <v>56</v>
      </c>
      <c r="U40" s="15">
        <f t="shared" si="22"/>
        <v>64</v>
      </c>
      <c r="V40" s="15">
        <f t="shared" si="22"/>
        <v>72</v>
      </c>
      <c r="W40" s="15">
        <f t="shared" si="22"/>
        <v>81</v>
      </c>
      <c r="X40" s="15">
        <f t="shared" si="22"/>
        <v>91</v>
      </c>
      <c r="Y40" s="15">
        <f t="shared" si="22"/>
        <v>101</v>
      </c>
      <c r="Z40" s="15">
        <f t="shared" si="22"/>
        <v>112</v>
      </c>
      <c r="AA40" s="15">
        <f t="shared" si="22"/>
        <v>124</v>
      </c>
      <c r="AB40" s="15">
        <f t="shared" si="22"/>
        <v>136</v>
      </c>
      <c r="AC40" s="15">
        <f t="shared" si="22"/>
        <v>149</v>
      </c>
      <c r="AD40" s="15">
        <f t="shared" si="22"/>
        <v>163</v>
      </c>
      <c r="AE40" s="15">
        <f t="shared" si="22"/>
        <v>177</v>
      </c>
      <c r="AF40" s="15">
        <f t="shared" si="22"/>
        <v>193</v>
      </c>
      <c r="AG40" s="15">
        <f t="shared" si="22"/>
        <v>209</v>
      </c>
      <c r="AH40" s="15">
        <f t="shared" si="22"/>
        <v>226</v>
      </c>
      <c r="AI40" s="15">
        <f t="shared" si="22"/>
        <v>244</v>
      </c>
      <c r="AJ40" s="15">
        <f t="shared" si="22"/>
        <v>263</v>
      </c>
      <c r="AK40" s="15">
        <f t="shared" si="22"/>
        <v>283</v>
      </c>
    </row>
    <row r="41">
      <c r="B41" s="15" t="s">
        <v>63</v>
      </c>
      <c r="C41" s="39">
        <v>0.2</v>
      </c>
      <c r="D41" s="39"/>
    </row>
    <row r="43">
      <c r="A43" s="10" t="s">
        <v>64</v>
      </c>
      <c r="B43" s="11"/>
      <c r="C43" s="11"/>
      <c r="D43" s="13">
        <f t="shared" ref="D43:AK43" si="23">$C45*D46</f>
        <v>0</v>
      </c>
      <c r="E43" s="13">
        <f t="shared" si="23"/>
        <v>0</v>
      </c>
      <c r="F43" s="13">
        <f t="shared" si="23"/>
        <v>0</v>
      </c>
      <c r="G43" s="13">
        <f t="shared" si="23"/>
        <v>0</v>
      </c>
      <c r="H43" s="13">
        <f t="shared" si="23"/>
        <v>0</v>
      </c>
      <c r="I43" s="13">
        <f t="shared" si="23"/>
        <v>0</v>
      </c>
      <c r="J43" s="13">
        <f t="shared" si="23"/>
        <v>0</v>
      </c>
      <c r="K43" s="13">
        <f t="shared" si="23"/>
        <v>0</v>
      </c>
      <c r="L43" s="13">
        <f t="shared" si="23"/>
        <v>0</v>
      </c>
      <c r="M43" s="13">
        <f t="shared" si="23"/>
        <v>0</v>
      </c>
      <c r="N43" s="13">
        <f t="shared" si="23"/>
        <v>0</v>
      </c>
      <c r="O43" s="13">
        <f t="shared" si="23"/>
        <v>0</v>
      </c>
      <c r="P43" s="13">
        <f t="shared" si="23"/>
        <v>0</v>
      </c>
      <c r="Q43" s="13">
        <f t="shared" si="23"/>
        <v>0</v>
      </c>
      <c r="R43" s="13">
        <f t="shared" si="23"/>
        <v>0</v>
      </c>
      <c r="S43" s="13">
        <f t="shared" si="23"/>
        <v>0</v>
      </c>
      <c r="T43" s="13">
        <f t="shared" si="23"/>
        <v>0</v>
      </c>
      <c r="U43" s="13">
        <f t="shared" si="23"/>
        <v>0</v>
      </c>
      <c r="V43" s="13">
        <f t="shared" si="23"/>
        <v>0</v>
      </c>
      <c r="W43" s="13">
        <f t="shared" si="23"/>
        <v>0</v>
      </c>
      <c r="X43" s="13">
        <f t="shared" si="23"/>
        <v>0</v>
      </c>
      <c r="Y43" s="13">
        <f t="shared" si="23"/>
        <v>0</v>
      </c>
      <c r="Z43" s="13">
        <f t="shared" si="23"/>
        <v>0</v>
      </c>
      <c r="AA43" s="13">
        <f t="shared" si="23"/>
        <v>0</v>
      </c>
      <c r="AB43" s="13">
        <f t="shared" si="23"/>
        <v>0</v>
      </c>
      <c r="AC43" s="13">
        <f t="shared" si="23"/>
        <v>0</v>
      </c>
      <c r="AD43" s="13">
        <f t="shared" si="23"/>
        <v>0</v>
      </c>
      <c r="AE43" s="13">
        <f t="shared" si="23"/>
        <v>0</v>
      </c>
      <c r="AF43" s="13">
        <f t="shared" si="23"/>
        <v>0</v>
      </c>
      <c r="AG43" s="13">
        <f t="shared" si="23"/>
        <v>0</v>
      </c>
      <c r="AH43" s="13">
        <f t="shared" si="23"/>
        <v>0</v>
      </c>
      <c r="AI43" s="13">
        <f t="shared" si="23"/>
        <v>0</v>
      </c>
      <c r="AJ43" s="13">
        <f t="shared" si="23"/>
        <v>0</v>
      </c>
      <c r="AK43" s="13">
        <f t="shared" si="23"/>
        <v>0</v>
      </c>
    </row>
    <row r="44" ht="16.5" customHeight="1"/>
    <row r="45">
      <c r="A45" s="15" t="s">
        <v>65</v>
      </c>
      <c r="C45" s="40">
        <v>1500.0</v>
      </c>
    </row>
    <row r="46">
      <c r="A46" s="15" t="s">
        <v>66</v>
      </c>
      <c r="D46" s="35">
        <v>0.0</v>
      </c>
      <c r="E46" s="35">
        <v>0.0</v>
      </c>
      <c r="F46" s="35">
        <v>0.0</v>
      </c>
      <c r="G46" s="35">
        <v>0.0</v>
      </c>
      <c r="H46" s="35">
        <v>0.0</v>
      </c>
      <c r="I46" s="35">
        <v>0.0</v>
      </c>
      <c r="J46" s="35">
        <v>0.0</v>
      </c>
      <c r="K46" s="35">
        <v>0.0</v>
      </c>
      <c r="L46" s="35">
        <v>0.0</v>
      </c>
      <c r="M46" s="35">
        <v>0.0</v>
      </c>
      <c r="N46" s="35">
        <v>0.0</v>
      </c>
      <c r="O46" s="35">
        <v>0.0</v>
      </c>
      <c r="P46" s="35">
        <v>0.0</v>
      </c>
      <c r="Q46" s="35">
        <v>0.0</v>
      </c>
      <c r="R46" s="35">
        <v>0.0</v>
      </c>
      <c r="S46" s="35">
        <v>0.0</v>
      </c>
      <c r="T46" s="35">
        <v>0.0</v>
      </c>
      <c r="U46" s="35">
        <v>0.0</v>
      </c>
      <c r="V46" s="35">
        <v>0.0</v>
      </c>
      <c r="W46" s="35">
        <v>0.0</v>
      </c>
      <c r="X46" s="35">
        <v>0.0</v>
      </c>
      <c r="Y46" s="35">
        <v>0.0</v>
      </c>
      <c r="Z46" s="35">
        <v>0.0</v>
      </c>
      <c r="AA46" s="35">
        <v>0.0</v>
      </c>
      <c r="AB46" s="35">
        <v>0.0</v>
      </c>
      <c r="AC46" s="35">
        <v>0.0</v>
      </c>
      <c r="AD46" s="35">
        <v>0.0</v>
      </c>
      <c r="AE46" s="35">
        <v>0.0</v>
      </c>
      <c r="AF46" s="35">
        <v>0.0</v>
      </c>
      <c r="AG46" s="35">
        <v>0.0</v>
      </c>
      <c r="AH46" s="35">
        <v>0.0</v>
      </c>
      <c r="AI46" s="35">
        <v>0.0</v>
      </c>
      <c r="AJ46" s="35">
        <v>0.0</v>
      </c>
      <c r="AK46" s="35">
        <v>0.0</v>
      </c>
    </row>
    <row r="1005">
      <c r="A1005" s="15" t="s">
        <v>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9.88"/>
    <col customWidth="1" min="3" max="3" width="24.75"/>
    <col customWidth="1" min="5" max="5" width="7.0"/>
    <col customWidth="1" min="6" max="6" width="6.25"/>
    <col customWidth="1" min="7" max="7" width="6.0"/>
    <col customWidth="1" min="8" max="8" width="6.38"/>
    <col customWidth="1" min="9" max="9" width="5.88"/>
    <col customWidth="1" min="10" max="10" width="6.75"/>
    <col customWidth="1" min="11" max="11" width="7.25"/>
    <col customWidth="1" min="12" max="12" width="6.38"/>
    <col customWidth="1" min="13" max="13" width="6.63"/>
    <col customWidth="1" min="14" max="14" width="6.75"/>
    <col customWidth="1" min="15" max="15" width="6.5"/>
    <col customWidth="1" min="16" max="16" width="6.63"/>
    <col customWidth="1" min="17" max="17" width="7.0"/>
    <col customWidth="1" min="18" max="18" width="6.25"/>
    <col customWidth="1" min="19" max="19" width="6.0"/>
    <col customWidth="1" min="20" max="20" width="6.38"/>
    <col customWidth="1" min="21" max="21" width="5.88"/>
    <col customWidth="1" min="22" max="22" width="6.75"/>
    <col customWidth="1" min="23" max="23" width="7.25"/>
    <col customWidth="1" min="24" max="24" width="6.38"/>
    <col customWidth="1" min="25" max="25" width="6.63"/>
    <col customWidth="1" min="26" max="26" width="6.75"/>
    <col customWidth="1" min="27" max="27" width="6.5"/>
    <col customWidth="1" min="28" max="28" width="6.63"/>
    <col customWidth="1" min="29" max="29" width="7.0"/>
    <col customWidth="1" min="30" max="30" width="6.25"/>
    <col customWidth="1" min="31" max="31" width="6.0"/>
    <col customWidth="1" min="32" max="32" width="6.38"/>
    <col customWidth="1" min="33" max="33" width="5.88"/>
    <col customWidth="1" min="34" max="34" width="6.75"/>
    <col customWidth="1" min="35" max="35" width="7.25"/>
    <col customWidth="1" min="36" max="36" width="6.38"/>
    <col customWidth="1" min="37" max="37" width="6.63"/>
    <col customWidth="1" min="38" max="38" width="6.75"/>
  </cols>
  <sheetData>
    <row r="1">
      <c r="E1" s="47">
        <v>46112.0</v>
      </c>
      <c r="F1" s="47">
        <f t="shared" ref="F1:AL1" si="1">EOMONTH(E1,1)</f>
        <v>46142</v>
      </c>
      <c r="G1" s="47">
        <f t="shared" si="1"/>
        <v>46173</v>
      </c>
      <c r="H1" s="47">
        <f t="shared" si="1"/>
        <v>46203</v>
      </c>
      <c r="I1" s="47">
        <f t="shared" si="1"/>
        <v>46234</v>
      </c>
      <c r="J1" s="47">
        <f t="shared" si="1"/>
        <v>46265</v>
      </c>
      <c r="K1" s="47">
        <f t="shared" si="1"/>
        <v>46295</v>
      </c>
      <c r="L1" s="47">
        <f t="shared" si="1"/>
        <v>46326</v>
      </c>
      <c r="M1" s="47">
        <f t="shared" si="1"/>
        <v>46356</v>
      </c>
      <c r="N1" s="47">
        <f t="shared" si="1"/>
        <v>46387</v>
      </c>
      <c r="O1" s="47">
        <f t="shared" si="1"/>
        <v>46418</v>
      </c>
      <c r="P1" s="47">
        <f t="shared" si="1"/>
        <v>46446</v>
      </c>
      <c r="Q1" s="47">
        <f t="shared" si="1"/>
        <v>46477</v>
      </c>
      <c r="R1" s="47">
        <f t="shared" si="1"/>
        <v>46507</v>
      </c>
      <c r="S1" s="47">
        <f t="shared" si="1"/>
        <v>46538</v>
      </c>
      <c r="T1" s="47">
        <f t="shared" si="1"/>
        <v>46568</v>
      </c>
      <c r="U1" s="47">
        <f t="shared" si="1"/>
        <v>46599</v>
      </c>
      <c r="V1" s="47">
        <f t="shared" si="1"/>
        <v>46630</v>
      </c>
      <c r="W1" s="47">
        <f t="shared" si="1"/>
        <v>46660</v>
      </c>
      <c r="X1" s="47">
        <f t="shared" si="1"/>
        <v>46691</v>
      </c>
      <c r="Y1" s="47">
        <f t="shared" si="1"/>
        <v>46721</v>
      </c>
      <c r="Z1" s="47">
        <f t="shared" si="1"/>
        <v>46752</v>
      </c>
      <c r="AA1" s="47">
        <f t="shared" si="1"/>
        <v>46783</v>
      </c>
      <c r="AB1" s="47">
        <f t="shared" si="1"/>
        <v>46812</v>
      </c>
      <c r="AC1" s="47">
        <f t="shared" si="1"/>
        <v>46843</v>
      </c>
      <c r="AD1" s="47">
        <f t="shared" si="1"/>
        <v>46873</v>
      </c>
      <c r="AE1" s="47">
        <f t="shared" si="1"/>
        <v>46904</v>
      </c>
      <c r="AF1" s="47">
        <f t="shared" si="1"/>
        <v>46934</v>
      </c>
      <c r="AG1" s="47">
        <f t="shared" si="1"/>
        <v>46965</v>
      </c>
      <c r="AH1" s="47">
        <f t="shared" si="1"/>
        <v>46996</v>
      </c>
      <c r="AI1" s="47">
        <f t="shared" si="1"/>
        <v>47026</v>
      </c>
      <c r="AJ1" s="47">
        <f t="shared" si="1"/>
        <v>47057</v>
      </c>
      <c r="AK1" s="47">
        <f t="shared" si="1"/>
        <v>47087</v>
      </c>
      <c r="AL1" s="47">
        <f t="shared" si="1"/>
        <v>47118</v>
      </c>
    </row>
    <row r="2">
      <c r="A2" s="48" t="s">
        <v>67</v>
      </c>
      <c r="E2" s="49">
        <v>1.0</v>
      </c>
      <c r="F2" s="49">
        <v>2.0</v>
      </c>
      <c r="G2" s="49">
        <v>3.0</v>
      </c>
      <c r="H2" s="49">
        <v>4.0</v>
      </c>
      <c r="I2" s="49">
        <v>5.0</v>
      </c>
      <c r="J2" s="49">
        <v>6.0</v>
      </c>
      <c r="K2" s="49">
        <v>7.0</v>
      </c>
      <c r="L2" s="49">
        <v>8.0</v>
      </c>
      <c r="M2" s="49">
        <v>9.0</v>
      </c>
      <c r="N2" s="49">
        <v>10.0</v>
      </c>
      <c r="O2" s="49">
        <v>11.0</v>
      </c>
      <c r="P2" s="49">
        <v>12.0</v>
      </c>
      <c r="Q2" s="49">
        <v>13.0</v>
      </c>
      <c r="R2" s="49">
        <v>14.0</v>
      </c>
      <c r="S2" s="49">
        <v>15.0</v>
      </c>
      <c r="T2" s="49">
        <v>16.0</v>
      </c>
      <c r="U2" s="49">
        <v>17.0</v>
      </c>
      <c r="V2" s="49">
        <v>18.0</v>
      </c>
      <c r="W2" s="49">
        <v>19.0</v>
      </c>
      <c r="X2" s="49">
        <v>20.0</v>
      </c>
      <c r="Y2" s="49">
        <v>21.0</v>
      </c>
      <c r="Z2" s="49">
        <v>22.0</v>
      </c>
      <c r="AA2" s="49">
        <v>23.0</v>
      </c>
      <c r="AB2" s="49">
        <v>24.0</v>
      </c>
      <c r="AC2" s="49">
        <v>25.0</v>
      </c>
      <c r="AD2" s="49">
        <v>26.0</v>
      </c>
      <c r="AE2" s="49">
        <v>27.0</v>
      </c>
      <c r="AF2" s="49">
        <v>28.0</v>
      </c>
      <c r="AG2" s="49">
        <v>29.0</v>
      </c>
      <c r="AH2" s="49">
        <v>30.0</v>
      </c>
      <c r="AI2" s="49">
        <v>31.0</v>
      </c>
      <c r="AJ2" s="49">
        <v>32.0</v>
      </c>
      <c r="AK2" s="49">
        <v>33.0</v>
      </c>
      <c r="AL2" s="49">
        <v>34.0</v>
      </c>
    </row>
    <row r="4">
      <c r="A4" s="10" t="s">
        <v>68</v>
      </c>
      <c r="B4" s="11"/>
      <c r="C4" s="11"/>
      <c r="D4" s="11"/>
      <c r="E4" s="50">
        <f t="shared" ref="E4:AL4" si="2">SUM(E55,E24,E10,E61,E69,E73,E28,E32,E65,E19,E40,E36)</f>
        <v>3</v>
      </c>
      <c r="F4" s="50">
        <f t="shared" si="2"/>
        <v>3</v>
      </c>
      <c r="G4" s="50">
        <f t="shared" si="2"/>
        <v>9</v>
      </c>
      <c r="H4" s="50">
        <f t="shared" si="2"/>
        <v>20</v>
      </c>
      <c r="I4" s="50">
        <f t="shared" si="2"/>
        <v>41</v>
      </c>
      <c r="J4" s="50">
        <f t="shared" si="2"/>
        <v>64</v>
      </c>
      <c r="K4" s="50">
        <f t="shared" si="2"/>
        <v>123</v>
      </c>
      <c r="L4" s="50">
        <f t="shared" si="2"/>
        <v>132</v>
      </c>
      <c r="M4" s="50">
        <f t="shared" si="2"/>
        <v>170</v>
      </c>
      <c r="N4" s="50">
        <f t="shared" si="2"/>
        <v>217</v>
      </c>
      <c r="O4" s="50">
        <f t="shared" si="2"/>
        <v>255</v>
      </c>
      <c r="P4" s="50">
        <f t="shared" si="2"/>
        <v>306</v>
      </c>
      <c r="Q4" s="50">
        <f t="shared" si="2"/>
        <v>357</v>
      </c>
      <c r="R4" s="50">
        <f t="shared" si="2"/>
        <v>410</v>
      </c>
      <c r="S4" s="50">
        <f t="shared" si="2"/>
        <v>466</v>
      </c>
      <c r="T4" s="50">
        <f t="shared" si="2"/>
        <v>517</v>
      </c>
      <c r="U4" s="50">
        <f t="shared" si="2"/>
        <v>563</v>
      </c>
      <c r="V4" s="50">
        <f t="shared" si="2"/>
        <v>627</v>
      </c>
      <c r="W4" s="50">
        <f t="shared" si="2"/>
        <v>694</v>
      </c>
      <c r="X4" s="50">
        <f t="shared" si="2"/>
        <v>764</v>
      </c>
      <c r="Y4" s="50">
        <f t="shared" si="2"/>
        <v>838</v>
      </c>
      <c r="Z4" s="50">
        <f t="shared" si="2"/>
        <v>915</v>
      </c>
      <c r="AA4" s="50">
        <f t="shared" si="2"/>
        <v>996</v>
      </c>
      <c r="AB4" s="50">
        <f t="shared" si="2"/>
        <v>1082</v>
      </c>
      <c r="AC4" s="50">
        <f t="shared" si="2"/>
        <v>1171</v>
      </c>
      <c r="AD4" s="50">
        <f t="shared" si="2"/>
        <v>1265</v>
      </c>
      <c r="AE4" s="50">
        <f t="shared" si="2"/>
        <v>1364</v>
      </c>
      <c r="AF4" s="50">
        <f t="shared" si="2"/>
        <v>1468</v>
      </c>
      <c r="AG4" s="50">
        <f t="shared" si="2"/>
        <v>1577</v>
      </c>
      <c r="AH4" s="50">
        <f t="shared" si="2"/>
        <v>1691</v>
      </c>
      <c r="AI4" s="50">
        <f t="shared" si="2"/>
        <v>1811</v>
      </c>
      <c r="AJ4" s="50">
        <f t="shared" si="2"/>
        <v>1937</v>
      </c>
      <c r="AK4" s="50">
        <f t="shared" si="2"/>
        <v>2070</v>
      </c>
      <c r="AL4" s="50">
        <f t="shared" si="2"/>
        <v>2209</v>
      </c>
    </row>
    <row r="5">
      <c r="A5" s="10" t="s">
        <v>69</v>
      </c>
      <c r="B5" s="11"/>
      <c r="C5" s="11"/>
      <c r="D5" s="11"/>
      <c r="E5" s="50">
        <f t="shared" ref="E5:AL5" si="3">SUM(E56,E25,E11,E62,E70,E74,E29,E33,E66,E20,E41)</f>
        <v>3</v>
      </c>
      <c r="F5" s="50">
        <f t="shared" si="3"/>
        <v>6</v>
      </c>
      <c r="G5" s="50">
        <f t="shared" si="3"/>
        <v>15</v>
      </c>
      <c r="H5" s="50">
        <f t="shared" si="3"/>
        <v>35</v>
      </c>
      <c r="I5" s="50">
        <f t="shared" si="3"/>
        <v>76</v>
      </c>
      <c r="J5" s="50">
        <f t="shared" si="3"/>
        <v>135</v>
      </c>
      <c r="K5" s="50">
        <f t="shared" si="3"/>
        <v>248</v>
      </c>
      <c r="L5" s="50">
        <f t="shared" si="3"/>
        <v>370</v>
      </c>
      <c r="M5" s="50">
        <f t="shared" si="3"/>
        <v>530</v>
      </c>
      <c r="N5" s="50">
        <f t="shared" si="3"/>
        <v>737</v>
      </c>
      <c r="O5" s="50">
        <f t="shared" si="3"/>
        <v>982</v>
      </c>
      <c r="P5" s="50">
        <f t="shared" si="3"/>
        <v>1278</v>
      </c>
      <c r="Q5" s="50">
        <f t="shared" si="3"/>
        <v>1625</v>
      </c>
      <c r="R5" s="50">
        <f t="shared" si="3"/>
        <v>2025</v>
      </c>
      <c r="S5" s="50">
        <f t="shared" si="3"/>
        <v>2481</v>
      </c>
      <c r="T5" s="50">
        <f t="shared" si="3"/>
        <v>2988</v>
      </c>
      <c r="U5" s="50">
        <f t="shared" si="3"/>
        <v>3541</v>
      </c>
      <c r="V5" s="50">
        <f t="shared" si="3"/>
        <v>4158</v>
      </c>
      <c r="W5" s="50">
        <f t="shared" si="3"/>
        <v>4842</v>
      </c>
      <c r="X5" s="50">
        <f t="shared" si="3"/>
        <v>5596</v>
      </c>
      <c r="Y5" s="50">
        <f t="shared" si="3"/>
        <v>6424</v>
      </c>
      <c r="Z5" s="50">
        <f t="shared" si="3"/>
        <v>7329</v>
      </c>
      <c r="AA5" s="50">
        <f t="shared" si="3"/>
        <v>8315</v>
      </c>
      <c r="AB5" s="50">
        <f t="shared" si="3"/>
        <v>9387</v>
      </c>
      <c r="AC5" s="50">
        <f t="shared" si="3"/>
        <v>10548</v>
      </c>
      <c r="AD5" s="50">
        <f t="shared" si="3"/>
        <v>11803</v>
      </c>
      <c r="AE5" s="50">
        <f t="shared" si="3"/>
        <v>13157</v>
      </c>
      <c r="AF5" s="50">
        <f t="shared" si="3"/>
        <v>14615</v>
      </c>
      <c r="AG5" s="50">
        <f t="shared" si="3"/>
        <v>16182</v>
      </c>
      <c r="AH5" s="50">
        <f t="shared" si="3"/>
        <v>17863</v>
      </c>
      <c r="AI5" s="50">
        <f t="shared" si="3"/>
        <v>19664</v>
      </c>
      <c r="AJ5" s="50">
        <f t="shared" si="3"/>
        <v>21591</v>
      </c>
      <c r="AK5" s="50">
        <f t="shared" si="3"/>
        <v>23651</v>
      </c>
      <c r="AL5" s="50">
        <f t="shared" si="3"/>
        <v>25850</v>
      </c>
    </row>
    <row r="7">
      <c r="A7" s="10" t="s">
        <v>70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</row>
    <row r="8">
      <c r="B8" s="15"/>
      <c r="C8" s="15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</row>
    <row r="9">
      <c r="B9" s="15" t="s">
        <v>71</v>
      </c>
      <c r="C9" s="15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</row>
    <row r="10">
      <c r="C10" s="15" t="s">
        <v>72</v>
      </c>
      <c r="E10" s="49">
        <v>3.0</v>
      </c>
      <c r="F10" s="49">
        <v>3.0</v>
      </c>
      <c r="G10" s="49">
        <v>3.0</v>
      </c>
      <c r="H10" s="49">
        <v>3.0</v>
      </c>
      <c r="I10" s="49">
        <v>3.0</v>
      </c>
      <c r="J10" s="49">
        <v>3.0</v>
      </c>
      <c r="K10" s="49">
        <v>3.0</v>
      </c>
      <c r="L10" s="49">
        <v>3.0</v>
      </c>
      <c r="M10" s="49">
        <v>3.0</v>
      </c>
      <c r="N10" s="49">
        <v>3.0</v>
      </c>
      <c r="O10" s="49">
        <v>3.0</v>
      </c>
      <c r="P10" s="49">
        <v>3.0</v>
      </c>
      <c r="Q10" s="49">
        <v>3.0</v>
      </c>
      <c r="R10" s="49">
        <v>3.0</v>
      </c>
      <c r="S10" s="49">
        <v>3.0</v>
      </c>
      <c r="T10" s="49">
        <v>3.0</v>
      </c>
      <c r="U10" s="49">
        <v>3.0</v>
      </c>
      <c r="V10" s="49">
        <v>3.0</v>
      </c>
      <c r="W10" s="49">
        <v>3.0</v>
      </c>
      <c r="X10" s="49">
        <v>3.0</v>
      </c>
      <c r="Y10" s="49">
        <v>3.0</v>
      </c>
      <c r="Z10" s="49">
        <v>3.0</v>
      </c>
      <c r="AA10" s="49">
        <v>3.0</v>
      </c>
      <c r="AB10" s="49">
        <v>3.0</v>
      </c>
      <c r="AC10" s="49">
        <v>3.0</v>
      </c>
      <c r="AD10" s="49">
        <v>3.0</v>
      </c>
      <c r="AE10" s="49">
        <v>3.0</v>
      </c>
      <c r="AF10" s="49">
        <v>3.0</v>
      </c>
      <c r="AG10" s="49">
        <v>3.0</v>
      </c>
      <c r="AH10" s="49">
        <v>3.0</v>
      </c>
      <c r="AI10" s="49">
        <v>3.0</v>
      </c>
      <c r="AJ10" s="49">
        <v>3.0</v>
      </c>
      <c r="AK10" s="49">
        <v>3.0</v>
      </c>
      <c r="AL10" s="49">
        <v>3.0</v>
      </c>
    </row>
    <row r="11">
      <c r="B11" s="15"/>
      <c r="C11" s="15" t="s">
        <v>73</v>
      </c>
      <c r="E11" s="49">
        <f>E10</f>
        <v>3</v>
      </c>
      <c r="F11" s="49">
        <f t="shared" ref="F11:AL11" si="4">F10+E11</f>
        <v>6</v>
      </c>
      <c r="G11" s="49">
        <f t="shared" si="4"/>
        <v>9</v>
      </c>
      <c r="H11" s="49">
        <f t="shared" si="4"/>
        <v>12</v>
      </c>
      <c r="I11" s="49">
        <f t="shared" si="4"/>
        <v>15</v>
      </c>
      <c r="J11" s="49">
        <f t="shared" si="4"/>
        <v>18</v>
      </c>
      <c r="K11" s="49">
        <f t="shared" si="4"/>
        <v>21</v>
      </c>
      <c r="L11" s="49">
        <f t="shared" si="4"/>
        <v>24</v>
      </c>
      <c r="M11" s="49">
        <f t="shared" si="4"/>
        <v>27</v>
      </c>
      <c r="N11" s="49">
        <f t="shared" si="4"/>
        <v>30</v>
      </c>
      <c r="O11" s="49">
        <f t="shared" si="4"/>
        <v>33</v>
      </c>
      <c r="P11" s="49">
        <f t="shared" si="4"/>
        <v>36</v>
      </c>
      <c r="Q11" s="49">
        <f t="shared" si="4"/>
        <v>39</v>
      </c>
      <c r="R11" s="49">
        <f t="shared" si="4"/>
        <v>42</v>
      </c>
      <c r="S11" s="49">
        <f t="shared" si="4"/>
        <v>45</v>
      </c>
      <c r="T11" s="49">
        <f t="shared" si="4"/>
        <v>48</v>
      </c>
      <c r="U11" s="49">
        <f t="shared" si="4"/>
        <v>51</v>
      </c>
      <c r="V11" s="49">
        <f t="shared" si="4"/>
        <v>54</v>
      </c>
      <c r="W11" s="49">
        <f t="shared" si="4"/>
        <v>57</v>
      </c>
      <c r="X11" s="49">
        <f t="shared" si="4"/>
        <v>60</v>
      </c>
      <c r="Y11" s="49">
        <f t="shared" si="4"/>
        <v>63</v>
      </c>
      <c r="Z11" s="49">
        <f t="shared" si="4"/>
        <v>66</v>
      </c>
      <c r="AA11" s="49">
        <f t="shared" si="4"/>
        <v>69</v>
      </c>
      <c r="AB11" s="49">
        <f t="shared" si="4"/>
        <v>72</v>
      </c>
      <c r="AC11" s="49">
        <f t="shared" si="4"/>
        <v>75</v>
      </c>
      <c r="AD11" s="49">
        <f t="shared" si="4"/>
        <v>78</v>
      </c>
      <c r="AE11" s="49">
        <f t="shared" si="4"/>
        <v>81</v>
      </c>
      <c r="AF11" s="49">
        <f t="shared" si="4"/>
        <v>84</v>
      </c>
      <c r="AG11" s="49">
        <f t="shared" si="4"/>
        <v>87</v>
      </c>
      <c r="AH11" s="49">
        <f t="shared" si="4"/>
        <v>90</v>
      </c>
      <c r="AI11" s="49">
        <f t="shared" si="4"/>
        <v>93</v>
      </c>
      <c r="AJ11" s="49">
        <f t="shared" si="4"/>
        <v>96</v>
      </c>
      <c r="AK11" s="49">
        <f t="shared" si="4"/>
        <v>99</v>
      </c>
      <c r="AL11" s="49">
        <f t="shared" si="4"/>
        <v>102</v>
      </c>
    </row>
    <row r="12">
      <c r="B12" s="15"/>
      <c r="C12" s="15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</row>
    <row r="13">
      <c r="A13" s="10" t="s">
        <v>74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</row>
    <row r="14">
      <c r="B14" s="15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</row>
    <row r="15">
      <c r="B15" s="15" t="s">
        <v>75</v>
      </c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</row>
    <row r="16">
      <c r="B16" s="15"/>
      <c r="C16" s="15" t="s">
        <v>76</v>
      </c>
      <c r="E16" s="51">
        <v>0.0</v>
      </c>
      <c r="F16" s="51">
        <v>0.0</v>
      </c>
      <c r="G16" s="51">
        <v>0.0</v>
      </c>
      <c r="H16" s="51">
        <v>1.0</v>
      </c>
      <c r="I16" s="51">
        <v>1.0</v>
      </c>
      <c r="J16" s="51">
        <v>1.0</v>
      </c>
      <c r="K16" s="51">
        <v>2.0</v>
      </c>
      <c r="L16" s="51">
        <v>2.0</v>
      </c>
      <c r="M16" s="51">
        <v>2.0</v>
      </c>
      <c r="N16" s="51">
        <v>3.0</v>
      </c>
      <c r="O16" s="51">
        <v>3.0</v>
      </c>
      <c r="P16" s="51">
        <v>5.0</v>
      </c>
      <c r="Q16" s="51">
        <v>5.0</v>
      </c>
      <c r="R16" s="51">
        <v>5.0</v>
      </c>
      <c r="S16" s="51">
        <v>5.0</v>
      </c>
      <c r="T16" s="51">
        <v>5.0</v>
      </c>
      <c r="U16" s="51">
        <v>5.0</v>
      </c>
      <c r="V16" s="51">
        <v>5.0</v>
      </c>
      <c r="W16" s="51">
        <v>5.0</v>
      </c>
      <c r="X16" s="51">
        <v>5.0</v>
      </c>
      <c r="Y16" s="51">
        <v>5.0</v>
      </c>
      <c r="Z16" s="51">
        <v>5.0</v>
      </c>
      <c r="AA16" s="51">
        <v>5.0</v>
      </c>
      <c r="AB16" s="51">
        <v>5.0</v>
      </c>
      <c r="AC16" s="51">
        <v>5.0</v>
      </c>
      <c r="AD16" s="51">
        <v>5.0</v>
      </c>
      <c r="AE16" s="51">
        <v>5.0</v>
      </c>
      <c r="AF16" s="51">
        <v>5.0</v>
      </c>
      <c r="AG16" s="51">
        <v>5.0</v>
      </c>
      <c r="AH16" s="51">
        <v>5.0</v>
      </c>
      <c r="AI16" s="51">
        <v>5.0</v>
      </c>
      <c r="AJ16" s="51">
        <v>5.0</v>
      </c>
      <c r="AK16" s="51">
        <v>5.0</v>
      </c>
      <c r="AL16" s="51">
        <v>5.0</v>
      </c>
    </row>
    <row r="17">
      <c r="B17" s="15"/>
      <c r="C17" s="15" t="s">
        <v>77</v>
      </c>
      <c r="E17" s="51">
        <v>0.0</v>
      </c>
      <c r="F17" s="51">
        <v>0.0</v>
      </c>
      <c r="G17" s="51">
        <v>0.0</v>
      </c>
      <c r="H17" s="51">
        <v>1.0</v>
      </c>
      <c r="I17" s="51">
        <v>1.0</v>
      </c>
      <c r="J17" s="51">
        <v>1.0</v>
      </c>
      <c r="K17" s="51">
        <v>2.0</v>
      </c>
      <c r="L17" s="51">
        <v>5.0</v>
      </c>
      <c r="M17" s="51">
        <v>5.0</v>
      </c>
      <c r="N17" s="51">
        <v>8.0</v>
      </c>
      <c r="O17" s="51">
        <v>8.0</v>
      </c>
      <c r="P17" s="51">
        <v>8.0</v>
      </c>
      <c r="Q17" s="51">
        <v>8.0</v>
      </c>
      <c r="R17" s="51">
        <v>8.0</v>
      </c>
      <c r="S17" s="51">
        <v>8.0</v>
      </c>
      <c r="T17" s="51">
        <v>0.0</v>
      </c>
      <c r="U17" s="51">
        <v>0.0</v>
      </c>
      <c r="V17" s="51">
        <v>0.0</v>
      </c>
      <c r="W17" s="51">
        <v>0.0</v>
      </c>
      <c r="X17" s="51">
        <v>0.0</v>
      </c>
      <c r="Y17" s="51">
        <v>0.0</v>
      </c>
      <c r="Z17" s="51">
        <v>0.0</v>
      </c>
      <c r="AA17" s="51">
        <v>0.0</v>
      </c>
      <c r="AB17" s="51">
        <v>0.0</v>
      </c>
      <c r="AC17" s="51">
        <v>0.0</v>
      </c>
      <c r="AD17" s="51">
        <v>0.0</v>
      </c>
      <c r="AE17" s="51">
        <v>0.0</v>
      </c>
      <c r="AF17" s="51">
        <v>0.0</v>
      </c>
      <c r="AG17" s="51">
        <v>0.0</v>
      </c>
      <c r="AH17" s="51">
        <v>0.0</v>
      </c>
      <c r="AI17" s="51">
        <v>0.0</v>
      </c>
      <c r="AJ17" s="51">
        <v>0.0</v>
      </c>
      <c r="AK17" s="51">
        <v>0.0</v>
      </c>
      <c r="AL17" s="51">
        <v>0.0</v>
      </c>
    </row>
    <row r="18">
      <c r="B18" s="15"/>
      <c r="C18" s="15" t="s">
        <v>78</v>
      </c>
      <c r="E18" s="51">
        <v>0.0</v>
      </c>
      <c r="F18" s="51">
        <v>0.0</v>
      </c>
      <c r="G18" s="51">
        <v>0.0</v>
      </c>
      <c r="H18" s="51">
        <v>0.0</v>
      </c>
      <c r="I18" s="51">
        <v>5.0</v>
      </c>
      <c r="J18" s="51">
        <v>3.0</v>
      </c>
      <c r="K18" s="51">
        <v>8.0</v>
      </c>
      <c r="L18" s="51">
        <v>10.0</v>
      </c>
      <c r="M18" s="51">
        <v>15.0</v>
      </c>
      <c r="N18" s="51">
        <v>20.0</v>
      </c>
      <c r="O18" s="51">
        <v>15.0</v>
      </c>
      <c r="P18" s="51">
        <v>15.0</v>
      </c>
      <c r="Q18" s="51">
        <v>15.0</v>
      </c>
      <c r="R18" s="51">
        <v>15.0</v>
      </c>
      <c r="S18" s="51">
        <v>15.0</v>
      </c>
      <c r="T18" s="51">
        <v>15.0</v>
      </c>
      <c r="U18" s="51">
        <v>0.0</v>
      </c>
      <c r="V18" s="51">
        <v>0.0</v>
      </c>
      <c r="W18" s="51">
        <v>0.0</v>
      </c>
      <c r="X18" s="51">
        <v>0.0</v>
      </c>
      <c r="Y18" s="51">
        <v>0.0</v>
      </c>
      <c r="Z18" s="51">
        <v>0.0</v>
      </c>
      <c r="AA18" s="51">
        <v>0.0</v>
      </c>
      <c r="AB18" s="51">
        <v>0.0</v>
      </c>
      <c r="AC18" s="51">
        <v>0.0</v>
      </c>
      <c r="AD18" s="51">
        <v>0.0</v>
      </c>
      <c r="AE18" s="51">
        <v>0.0</v>
      </c>
      <c r="AF18" s="51">
        <v>0.0</v>
      </c>
      <c r="AG18" s="51">
        <v>0.0</v>
      </c>
      <c r="AH18" s="51">
        <v>0.0</v>
      </c>
      <c r="AI18" s="51">
        <v>0.0</v>
      </c>
      <c r="AJ18" s="51">
        <v>0.0</v>
      </c>
      <c r="AK18" s="51">
        <v>0.0</v>
      </c>
      <c r="AL18" s="51">
        <v>0.0</v>
      </c>
    </row>
    <row r="19">
      <c r="B19" s="15"/>
      <c r="C19" s="15" t="s">
        <v>72</v>
      </c>
      <c r="E19" s="49">
        <f t="shared" ref="E19:AL19" si="5">SUM(E16:E18)</f>
        <v>0</v>
      </c>
      <c r="F19" s="49">
        <f t="shared" si="5"/>
        <v>0</v>
      </c>
      <c r="G19" s="49">
        <f t="shared" si="5"/>
        <v>0</v>
      </c>
      <c r="H19" s="49">
        <f t="shared" si="5"/>
        <v>2</v>
      </c>
      <c r="I19" s="49">
        <f t="shared" si="5"/>
        <v>7</v>
      </c>
      <c r="J19" s="49">
        <f t="shared" si="5"/>
        <v>5</v>
      </c>
      <c r="K19" s="49">
        <f t="shared" si="5"/>
        <v>12</v>
      </c>
      <c r="L19" s="49">
        <f t="shared" si="5"/>
        <v>17</v>
      </c>
      <c r="M19" s="49">
        <f t="shared" si="5"/>
        <v>22</v>
      </c>
      <c r="N19" s="49">
        <f t="shared" si="5"/>
        <v>31</v>
      </c>
      <c r="O19" s="49">
        <f t="shared" si="5"/>
        <v>26</v>
      </c>
      <c r="P19" s="49">
        <f t="shared" si="5"/>
        <v>28</v>
      </c>
      <c r="Q19" s="49">
        <f t="shared" si="5"/>
        <v>28</v>
      </c>
      <c r="R19" s="49">
        <f t="shared" si="5"/>
        <v>28</v>
      </c>
      <c r="S19" s="49">
        <f t="shared" si="5"/>
        <v>28</v>
      </c>
      <c r="T19" s="49">
        <f t="shared" si="5"/>
        <v>20</v>
      </c>
      <c r="U19" s="49">
        <f t="shared" si="5"/>
        <v>5</v>
      </c>
      <c r="V19" s="49">
        <f t="shared" si="5"/>
        <v>5</v>
      </c>
      <c r="W19" s="49">
        <f t="shared" si="5"/>
        <v>5</v>
      </c>
      <c r="X19" s="49">
        <f t="shared" si="5"/>
        <v>5</v>
      </c>
      <c r="Y19" s="49">
        <f t="shared" si="5"/>
        <v>5</v>
      </c>
      <c r="Z19" s="49">
        <f t="shared" si="5"/>
        <v>5</v>
      </c>
      <c r="AA19" s="49">
        <f t="shared" si="5"/>
        <v>5</v>
      </c>
      <c r="AB19" s="49">
        <f t="shared" si="5"/>
        <v>5</v>
      </c>
      <c r="AC19" s="49">
        <f t="shared" si="5"/>
        <v>5</v>
      </c>
      <c r="AD19" s="49">
        <f t="shared" si="5"/>
        <v>5</v>
      </c>
      <c r="AE19" s="49">
        <f t="shared" si="5"/>
        <v>5</v>
      </c>
      <c r="AF19" s="49">
        <f t="shared" si="5"/>
        <v>5</v>
      </c>
      <c r="AG19" s="49">
        <f t="shared" si="5"/>
        <v>5</v>
      </c>
      <c r="AH19" s="49">
        <f t="shared" si="5"/>
        <v>5</v>
      </c>
      <c r="AI19" s="49">
        <f t="shared" si="5"/>
        <v>5</v>
      </c>
      <c r="AJ19" s="49">
        <f t="shared" si="5"/>
        <v>5</v>
      </c>
      <c r="AK19" s="49">
        <f t="shared" si="5"/>
        <v>5</v>
      </c>
      <c r="AL19" s="49">
        <f t="shared" si="5"/>
        <v>5</v>
      </c>
    </row>
    <row r="20">
      <c r="B20" s="15"/>
      <c r="C20" s="15" t="s">
        <v>73</v>
      </c>
      <c r="E20" s="18">
        <f>E19</f>
        <v>0</v>
      </c>
      <c r="F20" s="49">
        <f t="shared" ref="F20:AL20" si="6">F19+E20</f>
        <v>0</v>
      </c>
      <c r="G20" s="49">
        <f t="shared" si="6"/>
        <v>0</v>
      </c>
      <c r="H20" s="49">
        <f t="shared" si="6"/>
        <v>2</v>
      </c>
      <c r="I20" s="49">
        <f t="shared" si="6"/>
        <v>9</v>
      </c>
      <c r="J20" s="49">
        <f t="shared" si="6"/>
        <v>14</v>
      </c>
      <c r="K20" s="49">
        <f t="shared" si="6"/>
        <v>26</v>
      </c>
      <c r="L20" s="49">
        <f t="shared" si="6"/>
        <v>43</v>
      </c>
      <c r="M20" s="49">
        <f t="shared" si="6"/>
        <v>65</v>
      </c>
      <c r="N20" s="49">
        <f t="shared" si="6"/>
        <v>96</v>
      </c>
      <c r="O20" s="49">
        <f t="shared" si="6"/>
        <v>122</v>
      </c>
      <c r="P20" s="49">
        <f t="shared" si="6"/>
        <v>150</v>
      </c>
      <c r="Q20" s="49">
        <f t="shared" si="6"/>
        <v>178</v>
      </c>
      <c r="R20" s="49">
        <f t="shared" si="6"/>
        <v>206</v>
      </c>
      <c r="S20" s="49">
        <f t="shared" si="6"/>
        <v>234</v>
      </c>
      <c r="T20" s="49">
        <f t="shared" si="6"/>
        <v>254</v>
      </c>
      <c r="U20" s="49">
        <f t="shared" si="6"/>
        <v>259</v>
      </c>
      <c r="V20" s="49">
        <f t="shared" si="6"/>
        <v>264</v>
      </c>
      <c r="W20" s="49">
        <f t="shared" si="6"/>
        <v>269</v>
      </c>
      <c r="X20" s="49">
        <f t="shared" si="6"/>
        <v>274</v>
      </c>
      <c r="Y20" s="49">
        <f t="shared" si="6"/>
        <v>279</v>
      </c>
      <c r="Z20" s="49">
        <f t="shared" si="6"/>
        <v>284</v>
      </c>
      <c r="AA20" s="49">
        <f t="shared" si="6"/>
        <v>289</v>
      </c>
      <c r="AB20" s="49">
        <f t="shared" si="6"/>
        <v>294</v>
      </c>
      <c r="AC20" s="49">
        <f t="shared" si="6"/>
        <v>299</v>
      </c>
      <c r="AD20" s="49">
        <f t="shared" si="6"/>
        <v>304</v>
      </c>
      <c r="AE20" s="49">
        <f t="shared" si="6"/>
        <v>309</v>
      </c>
      <c r="AF20" s="49">
        <f t="shared" si="6"/>
        <v>314</v>
      </c>
      <c r="AG20" s="49">
        <f t="shared" si="6"/>
        <v>319</v>
      </c>
      <c r="AH20" s="49">
        <f t="shared" si="6"/>
        <v>324</v>
      </c>
      <c r="AI20" s="49">
        <f t="shared" si="6"/>
        <v>329</v>
      </c>
      <c r="AJ20" s="49">
        <f t="shared" si="6"/>
        <v>334</v>
      </c>
      <c r="AK20" s="49">
        <f t="shared" si="6"/>
        <v>339</v>
      </c>
      <c r="AL20" s="49">
        <f t="shared" si="6"/>
        <v>344</v>
      </c>
    </row>
    <row r="21">
      <c r="B21" s="15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</row>
    <row r="22">
      <c r="B22" s="15" t="s">
        <v>79</v>
      </c>
      <c r="E22" s="52">
        <f t="shared" ref="E22:AL22" si="7">$D23</f>
        <v>0.05</v>
      </c>
      <c r="F22" s="52">
        <f t="shared" si="7"/>
        <v>0.05</v>
      </c>
      <c r="G22" s="52">
        <f t="shared" si="7"/>
        <v>0.05</v>
      </c>
      <c r="H22" s="52">
        <f t="shared" si="7"/>
        <v>0.05</v>
      </c>
      <c r="I22" s="52">
        <f t="shared" si="7"/>
        <v>0.05</v>
      </c>
      <c r="J22" s="52">
        <f t="shared" si="7"/>
        <v>0.05</v>
      </c>
      <c r="K22" s="52">
        <f t="shared" si="7"/>
        <v>0.05</v>
      </c>
      <c r="L22" s="52">
        <f t="shared" si="7"/>
        <v>0.05</v>
      </c>
      <c r="M22" s="52">
        <f t="shared" si="7"/>
        <v>0.05</v>
      </c>
      <c r="N22" s="52">
        <f t="shared" si="7"/>
        <v>0.05</v>
      </c>
      <c r="O22" s="52">
        <f t="shared" si="7"/>
        <v>0.05</v>
      </c>
      <c r="P22" s="52">
        <f t="shared" si="7"/>
        <v>0.05</v>
      </c>
      <c r="Q22" s="52">
        <f t="shared" si="7"/>
        <v>0.05</v>
      </c>
      <c r="R22" s="52">
        <f t="shared" si="7"/>
        <v>0.05</v>
      </c>
      <c r="S22" s="52">
        <f t="shared" si="7"/>
        <v>0.05</v>
      </c>
      <c r="T22" s="52">
        <f t="shared" si="7"/>
        <v>0.05</v>
      </c>
      <c r="U22" s="52">
        <f t="shared" si="7"/>
        <v>0.05</v>
      </c>
      <c r="V22" s="52">
        <f t="shared" si="7"/>
        <v>0.05</v>
      </c>
      <c r="W22" s="52">
        <f t="shared" si="7"/>
        <v>0.05</v>
      </c>
      <c r="X22" s="52">
        <f t="shared" si="7"/>
        <v>0.05</v>
      </c>
      <c r="Y22" s="52">
        <f t="shared" si="7"/>
        <v>0.05</v>
      </c>
      <c r="Z22" s="52">
        <f t="shared" si="7"/>
        <v>0.05</v>
      </c>
      <c r="AA22" s="52">
        <f t="shared" si="7"/>
        <v>0.05</v>
      </c>
      <c r="AB22" s="52">
        <f t="shared" si="7"/>
        <v>0.05</v>
      </c>
      <c r="AC22" s="52">
        <f t="shared" si="7"/>
        <v>0.05</v>
      </c>
      <c r="AD22" s="52">
        <f t="shared" si="7"/>
        <v>0.05</v>
      </c>
      <c r="AE22" s="52">
        <f t="shared" si="7"/>
        <v>0.05</v>
      </c>
      <c r="AF22" s="52">
        <f t="shared" si="7"/>
        <v>0.05</v>
      </c>
      <c r="AG22" s="52">
        <f t="shared" si="7"/>
        <v>0.05</v>
      </c>
      <c r="AH22" s="52">
        <f t="shared" si="7"/>
        <v>0.05</v>
      </c>
      <c r="AI22" s="52">
        <f t="shared" si="7"/>
        <v>0.05</v>
      </c>
      <c r="AJ22" s="52">
        <f t="shared" si="7"/>
        <v>0.05</v>
      </c>
      <c r="AK22" s="52">
        <f t="shared" si="7"/>
        <v>0.05</v>
      </c>
      <c r="AL22" s="52">
        <f t="shared" si="7"/>
        <v>0.05</v>
      </c>
    </row>
    <row r="23">
      <c r="D23" s="39">
        <v>0.05</v>
      </c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</row>
    <row r="24">
      <c r="C24" s="15" t="s">
        <v>80</v>
      </c>
      <c r="E24" s="49">
        <v>0.0</v>
      </c>
      <c r="F24" s="49">
        <f t="shared" ref="F24:AL24" si="8">ROUND(E5*F22,0)</f>
        <v>0</v>
      </c>
      <c r="G24" s="49">
        <f t="shared" si="8"/>
        <v>0</v>
      </c>
      <c r="H24" s="49">
        <f t="shared" si="8"/>
        <v>1</v>
      </c>
      <c r="I24" s="49">
        <f t="shared" si="8"/>
        <v>2</v>
      </c>
      <c r="J24" s="49">
        <f t="shared" si="8"/>
        <v>4</v>
      </c>
      <c r="K24" s="49">
        <f t="shared" si="8"/>
        <v>7</v>
      </c>
      <c r="L24" s="49">
        <f t="shared" si="8"/>
        <v>12</v>
      </c>
      <c r="M24" s="49">
        <f t="shared" si="8"/>
        <v>19</v>
      </c>
      <c r="N24" s="49">
        <f t="shared" si="8"/>
        <v>27</v>
      </c>
      <c r="O24" s="49">
        <f t="shared" si="8"/>
        <v>37</v>
      </c>
      <c r="P24" s="49">
        <f t="shared" si="8"/>
        <v>49</v>
      </c>
      <c r="Q24" s="49">
        <f t="shared" si="8"/>
        <v>64</v>
      </c>
      <c r="R24" s="49">
        <f t="shared" si="8"/>
        <v>81</v>
      </c>
      <c r="S24" s="49">
        <f t="shared" si="8"/>
        <v>101</v>
      </c>
      <c r="T24" s="49">
        <f t="shared" si="8"/>
        <v>124</v>
      </c>
      <c r="U24" s="49">
        <f t="shared" si="8"/>
        <v>149</v>
      </c>
      <c r="V24" s="49">
        <f t="shared" si="8"/>
        <v>177</v>
      </c>
      <c r="W24" s="49">
        <f t="shared" si="8"/>
        <v>208</v>
      </c>
      <c r="X24" s="49">
        <f t="shared" si="8"/>
        <v>242</v>
      </c>
      <c r="Y24" s="49">
        <f t="shared" si="8"/>
        <v>280</v>
      </c>
      <c r="Z24" s="49">
        <f t="shared" si="8"/>
        <v>321</v>
      </c>
      <c r="AA24" s="49">
        <f t="shared" si="8"/>
        <v>366</v>
      </c>
      <c r="AB24" s="49">
        <f t="shared" si="8"/>
        <v>416</v>
      </c>
      <c r="AC24" s="49">
        <f t="shared" si="8"/>
        <v>469</v>
      </c>
      <c r="AD24" s="49">
        <f t="shared" si="8"/>
        <v>527</v>
      </c>
      <c r="AE24" s="49">
        <f t="shared" si="8"/>
        <v>590</v>
      </c>
      <c r="AF24" s="49">
        <f t="shared" si="8"/>
        <v>658</v>
      </c>
      <c r="AG24" s="49">
        <f t="shared" si="8"/>
        <v>731</v>
      </c>
      <c r="AH24" s="49">
        <f t="shared" si="8"/>
        <v>809</v>
      </c>
      <c r="AI24" s="49">
        <f t="shared" si="8"/>
        <v>893</v>
      </c>
      <c r="AJ24" s="49">
        <f t="shared" si="8"/>
        <v>983</v>
      </c>
      <c r="AK24" s="49">
        <f t="shared" si="8"/>
        <v>1080</v>
      </c>
      <c r="AL24" s="49">
        <f t="shared" si="8"/>
        <v>1183</v>
      </c>
    </row>
    <row r="25">
      <c r="C25" s="15" t="s">
        <v>81</v>
      </c>
      <c r="E25" s="18">
        <f>E24</f>
        <v>0</v>
      </c>
      <c r="F25" s="49">
        <f t="shared" ref="F25:AL25" si="9">F24+E25</f>
        <v>0</v>
      </c>
      <c r="G25" s="49">
        <f t="shared" si="9"/>
        <v>0</v>
      </c>
      <c r="H25" s="49">
        <f t="shared" si="9"/>
        <v>1</v>
      </c>
      <c r="I25" s="49">
        <f t="shared" si="9"/>
        <v>3</v>
      </c>
      <c r="J25" s="49">
        <f t="shared" si="9"/>
        <v>7</v>
      </c>
      <c r="K25" s="49">
        <f t="shared" si="9"/>
        <v>14</v>
      </c>
      <c r="L25" s="49">
        <f t="shared" si="9"/>
        <v>26</v>
      </c>
      <c r="M25" s="49">
        <f t="shared" si="9"/>
        <v>45</v>
      </c>
      <c r="N25" s="49">
        <f t="shared" si="9"/>
        <v>72</v>
      </c>
      <c r="O25" s="49">
        <f t="shared" si="9"/>
        <v>109</v>
      </c>
      <c r="P25" s="49">
        <f t="shared" si="9"/>
        <v>158</v>
      </c>
      <c r="Q25" s="49">
        <f t="shared" si="9"/>
        <v>222</v>
      </c>
      <c r="R25" s="49">
        <f t="shared" si="9"/>
        <v>303</v>
      </c>
      <c r="S25" s="49">
        <f t="shared" si="9"/>
        <v>404</v>
      </c>
      <c r="T25" s="49">
        <f t="shared" si="9"/>
        <v>528</v>
      </c>
      <c r="U25" s="49">
        <f t="shared" si="9"/>
        <v>677</v>
      </c>
      <c r="V25" s="49">
        <f t="shared" si="9"/>
        <v>854</v>
      </c>
      <c r="W25" s="49">
        <f t="shared" si="9"/>
        <v>1062</v>
      </c>
      <c r="X25" s="49">
        <f t="shared" si="9"/>
        <v>1304</v>
      </c>
      <c r="Y25" s="49">
        <f t="shared" si="9"/>
        <v>1584</v>
      </c>
      <c r="Z25" s="49">
        <f t="shared" si="9"/>
        <v>1905</v>
      </c>
      <c r="AA25" s="49">
        <f t="shared" si="9"/>
        <v>2271</v>
      </c>
      <c r="AB25" s="49">
        <f t="shared" si="9"/>
        <v>2687</v>
      </c>
      <c r="AC25" s="49">
        <f t="shared" si="9"/>
        <v>3156</v>
      </c>
      <c r="AD25" s="49">
        <f t="shared" si="9"/>
        <v>3683</v>
      </c>
      <c r="AE25" s="49">
        <f t="shared" si="9"/>
        <v>4273</v>
      </c>
      <c r="AF25" s="49">
        <f t="shared" si="9"/>
        <v>4931</v>
      </c>
      <c r="AG25" s="49">
        <f t="shared" si="9"/>
        <v>5662</v>
      </c>
      <c r="AH25" s="49">
        <f t="shared" si="9"/>
        <v>6471</v>
      </c>
      <c r="AI25" s="49">
        <f t="shared" si="9"/>
        <v>7364</v>
      </c>
      <c r="AJ25" s="49">
        <f t="shared" si="9"/>
        <v>8347</v>
      </c>
      <c r="AK25" s="49">
        <f t="shared" si="9"/>
        <v>9427</v>
      </c>
      <c r="AL25" s="49">
        <f t="shared" si="9"/>
        <v>10610</v>
      </c>
    </row>
    <row r="27">
      <c r="B27" s="15" t="s">
        <v>82</v>
      </c>
    </row>
    <row r="28">
      <c r="C28" s="15" t="s">
        <v>72</v>
      </c>
      <c r="E28" s="35">
        <v>0.0</v>
      </c>
      <c r="F28" s="35">
        <v>0.0</v>
      </c>
      <c r="G28" s="35">
        <v>0.0</v>
      </c>
      <c r="H28" s="35">
        <v>0.0</v>
      </c>
      <c r="I28" s="35">
        <v>0.0</v>
      </c>
      <c r="J28" s="35">
        <v>0.0</v>
      </c>
      <c r="K28" s="35">
        <v>25.0</v>
      </c>
      <c r="L28" s="35">
        <v>2.0</v>
      </c>
      <c r="M28" s="35">
        <v>2.0</v>
      </c>
      <c r="N28" s="35">
        <v>2.0</v>
      </c>
      <c r="O28" s="35">
        <v>2.0</v>
      </c>
      <c r="P28" s="35">
        <v>2.0</v>
      </c>
      <c r="Q28" s="35">
        <v>2.0</v>
      </c>
      <c r="R28" s="35">
        <v>2.0</v>
      </c>
      <c r="S28" s="35">
        <v>2.0</v>
      </c>
      <c r="T28" s="35">
        <v>2.0</v>
      </c>
      <c r="U28" s="35">
        <v>2.0</v>
      </c>
      <c r="V28" s="35">
        <v>2.0</v>
      </c>
      <c r="W28" s="35">
        <v>2.0</v>
      </c>
      <c r="X28" s="35">
        <v>2.0</v>
      </c>
      <c r="Y28" s="35">
        <v>2.0</v>
      </c>
      <c r="Z28" s="35">
        <v>2.0</v>
      </c>
      <c r="AA28" s="35">
        <v>2.0</v>
      </c>
      <c r="AB28" s="35">
        <v>2.0</v>
      </c>
      <c r="AC28" s="35">
        <v>2.0</v>
      </c>
      <c r="AD28" s="35">
        <v>2.0</v>
      </c>
      <c r="AE28" s="35">
        <v>2.0</v>
      </c>
      <c r="AF28" s="35">
        <v>2.0</v>
      </c>
      <c r="AG28" s="35">
        <v>2.0</v>
      </c>
      <c r="AH28" s="35">
        <v>2.0</v>
      </c>
      <c r="AI28" s="35">
        <v>2.0</v>
      </c>
      <c r="AJ28" s="35">
        <v>2.0</v>
      </c>
      <c r="AK28" s="35">
        <v>2.0</v>
      </c>
      <c r="AL28" s="35">
        <v>2.0</v>
      </c>
    </row>
    <row r="29">
      <c r="C29" s="15" t="s">
        <v>73</v>
      </c>
      <c r="E29" s="18">
        <f>E28</f>
        <v>0</v>
      </c>
      <c r="F29" s="49">
        <f t="shared" ref="F29:AL29" si="10">F28+E29</f>
        <v>0</v>
      </c>
      <c r="G29" s="49">
        <f t="shared" si="10"/>
        <v>0</v>
      </c>
      <c r="H29" s="49">
        <f t="shared" si="10"/>
        <v>0</v>
      </c>
      <c r="I29" s="49">
        <f t="shared" si="10"/>
        <v>0</v>
      </c>
      <c r="J29" s="49">
        <f t="shared" si="10"/>
        <v>0</v>
      </c>
      <c r="K29" s="49">
        <f t="shared" si="10"/>
        <v>25</v>
      </c>
      <c r="L29" s="49">
        <f t="shared" si="10"/>
        <v>27</v>
      </c>
      <c r="M29" s="49">
        <f t="shared" si="10"/>
        <v>29</v>
      </c>
      <c r="N29" s="49">
        <f t="shared" si="10"/>
        <v>31</v>
      </c>
      <c r="O29" s="49">
        <f t="shared" si="10"/>
        <v>33</v>
      </c>
      <c r="P29" s="49">
        <f t="shared" si="10"/>
        <v>35</v>
      </c>
      <c r="Q29" s="49">
        <f t="shared" si="10"/>
        <v>37</v>
      </c>
      <c r="R29" s="49">
        <f t="shared" si="10"/>
        <v>39</v>
      </c>
      <c r="S29" s="49">
        <f t="shared" si="10"/>
        <v>41</v>
      </c>
      <c r="T29" s="49">
        <f t="shared" si="10"/>
        <v>43</v>
      </c>
      <c r="U29" s="49">
        <f t="shared" si="10"/>
        <v>45</v>
      </c>
      <c r="V29" s="49">
        <f t="shared" si="10"/>
        <v>47</v>
      </c>
      <c r="W29" s="49">
        <f t="shared" si="10"/>
        <v>49</v>
      </c>
      <c r="X29" s="49">
        <f t="shared" si="10"/>
        <v>51</v>
      </c>
      <c r="Y29" s="49">
        <f t="shared" si="10"/>
        <v>53</v>
      </c>
      <c r="Z29" s="49">
        <f t="shared" si="10"/>
        <v>55</v>
      </c>
      <c r="AA29" s="49">
        <f t="shared" si="10"/>
        <v>57</v>
      </c>
      <c r="AB29" s="49">
        <f t="shared" si="10"/>
        <v>59</v>
      </c>
      <c r="AC29" s="49">
        <f t="shared" si="10"/>
        <v>61</v>
      </c>
      <c r="AD29" s="49">
        <f t="shared" si="10"/>
        <v>63</v>
      </c>
      <c r="AE29" s="49">
        <f t="shared" si="10"/>
        <v>65</v>
      </c>
      <c r="AF29" s="49">
        <f t="shared" si="10"/>
        <v>67</v>
      </c>
      <c r="AG29" s="49">
        <f t="shared" si="10"/>
        <v>69</v>
      </c>
      <c r="AH29" s="49">
        <f t="shared" si="10"/>
        <v>71</v>
      </c>
      <c r="AI29" s="49">
        <f t="shared" si="10"/>
        <v>73</v>
      </c>
      <c r="AJ29" s="49">
        <f t="shared" si="10"/>
        <v>75</v>
      </c>
      <c r="AK29" s="49">
        <f t="shared" si="10"/>
        <v>77</v>
      </c>
      <c r="AL29" s="49">
        <f t="shared" si="10"/>
        <v>79</v>
      </c>
    </row>
    <row r="30">
      <c r="B30" s="15"/>
    </row>
    <row r="31">
      <c r="B31" s="15" t="s">
        <v>83</v>
      </c>
    </row>
    <row r="32">
      <c r="C32" s="15" t="s">
        <v>72</v>
      </c>
      <c r="E32" s="51">
        <v>0.0</v>
      </c>
      <c r="F32" s="51">
        <v>0.0</v>
      </c>
      <c r="G32" s="51">
        <v>0.0</v>
      </c>
      <c r="H32" s="51">
        <v>0.0</v>
      </c>
      <c r="I32" s="51">
        <v>0.0</v>
      </c>
      <c r="J32" s="51">
        <v>2.0</v>
      </c>
      <c r="K32" s="51">
        <v>2.0</v>
      </c>
      <c r="L32" s="51">
        <v>2.0</v>
      </c>
      <c r="M32" s="51">
        <v>2.0</v>
      </c>
      <c r="N32" s="51">
        <v>2.0</v>
      </c>
      <c r="O32" s="51">
        <v>2.0</v>
      </c>
      <c r="P32" s="51">
        <v>2.0</v>
      </c>
      <c r="Q32" s="51">
        <v>2.0</v>
      </c>
      <c r="R32" s="51">
        <v>2.0</v>
      </c>
      <c r="S32" s="51">
        <v>2.0</v>
      </c>
      <c r="T32" s="51">
        <v>2.0</v>
      </c>
      <c r="U32" s="51">
        <v>2.0</v>
      </c>
      <c r="V32" s="51">
        <v>2.0</v>
      </c>
      <c r="W32" s="51">
        <v>2.0</v>
      </c>
      <c r="X32" s="51">
        <v>2.0</v>
      </c>
      <c r="Y32" s="51">
        <v>2.0</v>
      </c>
      <c r="Z32" s="51">
        <v>2.0</v>
      </c>
      <c r="AA32" s="51">
        <v>2.0</v>
      </c>
      <c r="AB32" s="51">
        <v>2.0</v>
      </c>
      <c r="AC32" s="51">
        <v>2.0</v>
      </c>
      <c r="AD32" s="51">
        <v>2.0</v>
      </c>
      <c r="AE32" s="51">
        <v>2.0</v>
      </c>
      <c r="AF32" s="51">
        <v>2.0</v>
      </c>
      <c r="AG32" s="51">
        <v>2.0</v>
      </c>
      <c r="AH32" s="51">
        <v>2.0</v>
      </c>
      <c r="AI32" s="51">
        <v>2.0</v>
      </c>
      <c r="AJ32" s="51">
        <v>2.0</v>
      </c>
      <c r="AK32" s="51">
        <v>2.0</v>
      </c>
      <c r="AL32" s="51">
        <v>2.0</v>
      </c>
    </row>
    <row r="33">
      <c r="A33" s="15"/>
      <c r="B33" s="15"/>
      <c r="C33" s="15" t="s">
        <v>73</v>
      </c>
      <c r="E33" s="18">
        <f>E32</f>
        <v>0</v>
      </c>
      <c r="F33" s="49">
        <f t="shared" ref="F33:AL33" si="11">F32+E33</f>
        <v>0</v>
      </c>
      <c r="G33" s="49">
        <f t="shared" si="11"/>
        <v>0</v>
      </c>
      <c r="H33" s="49">
        <f t="shared" si="11"/>
        <v>0</v>
      </c>
      <c r="I33" s="49">
        <f t="shared" si="11"/>
        <v>0</v>
      </c>
      <c r="J33" s="49">
        <f t="shared" si="11"/>
        <v>2</v>
      </c>
      <c r="K33" s="49">
        <f t="shared" si="11"/>
        <v>4</v>
      </c>
      <c r="L33" s="49">
        <f t="shared" si="11"/>
        <v>6</v>
      </c>
      <c r="M33" s="49">
        <f t="shared" si="11"/>
        <v>8</v>
      </c>
      <c r="N33" s="49">
        <f t="shared" si="11"/>
        <v>10</v>
      </c>
      <c r="O33" s="49">
        <f t="shared" si="11"/>
        <v>12</v>
      </c>
      <c r="P33" s="49">
        <f t="shared" si="11"/>
        <v>14</v>
      </c>
      <c r="Q33" s="49">
        <f t="shared" si="11"/>
        <v>16</v>
      </c>
      <c r="R33" s="49">
        <f t="shared" si="11"/>
        <v>18</v>
      </c>
      <c r="S33" s="49">
        <f t="shared" si="11"/>
        <v>20</v>
      </c>
      <c r="T33" s="49">
        <f t="shared" si="11"/>
        <v>22</v>
      </c>
      <c r="U33" s="49">
        <f t="shared" si="11"/>
        <v>24</v>
      </c>
      <c r="V33" s="49">
        <f t="shared" si="11"/>
        <v>26</v>
      </c>
      <c r="W33" s="49">
        <f t="shared" si="11"/>
        <v>28</v>
      </c>
      <c r="X33" s="49">
        <f t="shared" si="11"/>
        <v>30</v>
      </c>
      <c r="Y33" s="49">
        <f t="shared" si="11"/>
        <v>32</v>
      </c>
      <c r="Z33" s="49">
        <f t="shared" si="11"/>
        <v>34</v>
      </c>
      <c r="AA33" s="49">
        <f t="shared" si="11"/>
        <v>36</v>
      </c>
      <c r="AB33" s="49">
        <f t="shared" si="11"/>
        <v>38</v>
      </c>
      <c r="AC33" s="49">
        <f t="shared" si="11"/>
        <v>40</v>
      </c>
      <c r="AD33" s="49">
        <f t="shared" si="11"/>
        <v>42</v>
      </c>
      <c r="AE33" s="49">
        <f t="shared" si="11"/>
        <v>44</v>
      </c>
      <c r="AF33" s="49">
        <f t="shared" si="11"/>
        <v>46</v>
      </c>
      <c r="AG33" s="49">
        <f t="shared" si="11"/>
        <v>48</v>
      </c>
      <c r="AH33" s="49">
        <f t="shared" si="11"/>
        <v>50</v>
      </c>
      <c r="AI33" s="49">
        <f t="shared" si="11"/>
        <v>52</v>
      </c>
      <c r="AJ33" s="49">
        <f t="shared" si="11"/>
        <v>54</v>
      </c>
      <c r="AK33" s="49">
        <f t="shared" si="11"/>
        <v>56</v>
      </c>
      <c r="AL33" s="49">
        <f t="shared" si="11"/>
        <v>58</v>
      </c>
    </row>
    <row r="34">
      <c r="B34" s="15"/>
      <c r="C34" s="15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</row>
    <row r="35">
      <c r="B35" s="15" t="s">
        <v>84</v>
      </c>
      <c r="C35" s="15"/>
    </row>
    <row r="36">
      <c r="C36" s="15" t="s">
        <v>72</v>
      </c>
      <c r="E36" s="51">
        <v>0.0</v>
      </c>
      <c r="F36" s="51">
        <v>0.0</v>
      </c>
      <c r="G36" s="51">
        <v>0.0</v>
      </c>
      <c r="H36" s="51">
        <v>0.0</v>
      </c>
      <c r="I36" s="51">
        <v>0.0</v>
      </c>
      <c r="J36" s="51">
        <v>5.0</v>
      </c>
      <c r="K36" s="51">
        <v>10.0</v>
      </c>
      <c r="L36" s="51">
        <v>10.0</v>
      </c>
      <c r="M36" s="51">
        <v>10.0</v>
      </c>
      <c r="N36" s="51">
        <v>10.0</v>
      </c>
      <c r="O36" s="51">
        <v>10.0</v>
      </c>
      <c r="P36" s="51">
        <v>10.0</v>
      </c>
      <c r="Q36" s="51">
        <v>10.0</v>
      </c>
      <c r="R36" s="51">
        <v>10.0</v>
      </c>
      <c r="S36" s="51">
        <v>10.0</v>
      </c>
      <c r="T36" s="51">
        <v>10.0</v>
      </c>
      <c r="U36" s="51">
        <v>10.0</v>
      </c>
      <c r="V36" s="51">
        <v>10.0</v>
      </c>
      <c r="W36" s="51">
        <v>10.0</v>
      </c>
      <c r="X36" s="51">
        <v>10.0</v>
      </c>
      <c r="Y36" s="51">
        <v>10.0</v>
      </c>
      <c r="Z36" s="51">
        <v>10.0</v>
      </c>
      <c r="AA36" s="51">
        <v>10.0</v>
      </c>
      <c r="AB36" s="51">
        <v>10.0</v>
      </c>
      <c r="AC36" s="51">
        <v>10.0</v>
      </c>
      <c r="AD36" s="51">
        <v>10.0</v>
      </c>
      <c r="AE36" s="51">
        <v>10.0</v>
      </c>
      <c r="AF36" s="51">
        <v>10.0</v>
      </c>
      <c r="AG36" s="51">
        <v>10.0</v>
      </c>
      <c r="AH36" s="51">
        <v>10.0</v>
      </c>
      <c r="AI36" s="51">
        <v>10.0</v>
      </c>
      <c r="AJ36" s="51">
        <v>10.0</v>
      </c>
      <c r="AK36" s="51">
        <v>10.0</v>
      </c>
      <c r="AL36" s="51">
        <v>10.0</v>
      </c>
    </row>
    <row r="37">
      <c r="C37" s="15" t="s">
        <v>73</v>
      </c>
      <c r="E37" s="18">
        <f>E36</f>
        <v>0</v>
      </c>
      <c r="F37" s="49">
        <f t="shared" ref="F37:AL37" si="12">F36+E37</f>
        <v>0</v>
      </c>
      <c r="G37" s="49">
        <f t="shared" si="12"/>
        <v>0</v>
      </c>
      <c r="H37" s="49">
        <f t="shared" si="12"/>
        <v>0</v>
      </c>
      <c r="I37" s="49">
        <f t="shared" si="12"/>
        <v>0</v>
      </c>
      <c r="J37" s="49">
        <f t="shared" si="12"/>
        <v>5</v>
      </c>
      <c r="K37" s="49">
        <f t="shared" si="12"/>
        <v>15</v>
      </c>
      <c r="L37" s="49">
        <f t="shared" si="12"/>
        <v>25</v>
      </c>
      <c r="M37" s="49">
        <f t="shared" si="12"/>
        <v>35</v>
      </c>
      <c r="N37" s="49">
        <f t="shared" si="12"/>
        <v>45</v>
      </c>
      <c r="O37" s="49">
        <f t="shared" si="12"/>
        <v>55</v>
      </c>
      <c r="P37" s="49">
        <f t="shared" si="12"/>
        <v>65</v>
      </c>
      <c r="Q37" s="49">
        <f t="shared" si="12"/>
        <v>75</v>
      </c>
      <c r="R37" s="49">
        <f t="shared" si="12"/>
        <v>85</v>
      </c>
      <c r="S37" s="49">
        <f t="shared" si="12"/>
        <v>95</v>
      </c>
      <c r="T37" s="49">
        <f t="shared" si="12"/>
        <v>105</v>
      </c>
      <c r="U37" s="49">
        <f t="shared" si="12"/>
        <v>115</v>
      </c>
      <c r="V37" s="49">
        <f t="shared" si="12"/>
        <v>125</v>
      </c>
      <c r="W37" s="49">
        <f t="shared" si="12"/>
        <v>135</v>
      </c>
      <c r="X37" s="49">
        <f t="shared" si="12"/>
        <v>145</v>
      </c>
      <c r="Y37" s="49">
        <f t="shared" si="12"/>
        <v>155</v>
      </c>
      <c r="Z37" s="49">
        <f t="shared" si="12"/>
        <v>165</v>
      </c>
      <c r="AA37" s="49">
        <f t="shared" si="12"/>
        <v>175</v>
      </c>
      <c r="AB37" s="49">
        <f t="shared" si="12"/>
        <v>185</v>
      </c>
      <c r="AC37" s="49">
        <f t="shared" si="12"/>
        <v>195</v>
      </c>
      <c r="AD37" s="49">
        <f t="shared" si="12"/>
        <v>205</v>
      </c>
      <c r="AE37" s="49">
        <f t="shared" si="12"/>
        <v>215</v>
      </c>
      <c r="AF37" s="49">
        <f t="shared" si="12"/>
        <v>225</v>
      </c>
      <c r="AG37" s="49">
        <f t="shared" si="12"/>
        <v>235</v>
      </c>
      <c r="AH37" s="49">
        <f t="shared" si="12"/>
        <v>245</v>
      </c>
      <c r="AI37" s="49">
        <f t="shared" si="12"/>
        <v>255</v>
      </c>
      <c r="AJ37" s="49">
        <f t="shared" si="12"/>
        <v>265</v>
      </c>
      <c r="AK37" s="49">
        <f t="shared" si="12"/>
        <v>275</v>
      </c>
      <c r="AL37" s="49">
        <f t="shared" si="12"/>
        <v>285</v>
      </c>
    </row>
    <row r="38">
      <c r="B38" s="15"/>
      <c r="C38" s="15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</row>
    <row r="39">
      <c r="B39" s="15" t="s">
        <v>85</v>
      </c>
      <c r="C39" s="15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</row>
    <row r="40">
      <c r="C40" s="15" t="s">
        <v>72</v>
      </c>
      <c r="E40" s="51">
        <v>0.0</v>
      </c>
      <c r="F40" s="51">
        <v>0.0</v>
      </c>
      <c r="G40" s="51">
        <v>1.0</v>
      </c>
      <c r="H40" s="51">
        <v>1.0</v>
      </c>
      <c r="I40" s="51">
        <v>5.0</v>
      </c>
      <c r="J40" s="51">
        <v>5.0</v>
      </c>
      <c r="K40" s="51">
        <v>5.0</v>
      </c>
      <c r="L40" s="51">
        <v>5.0</v>
      </c>
      <c r="M40" s="51">
        <v>5.0</v>
      </c>
      <c r="N40" s="51">
        <v>5.0</v>
      </c>
      <c r="O40" s="51">
        <v>5.0</v>
      </c>
      <c r="P40" s="51">
        <v>5.0</v>
      </c>
      <c r="Q40" s="51">
        <v>5.0</v>
      </c>
      <c r="R40" s="51">
        <v>5.0</v>
      </c>
      <c r="S40" s="51">
        <v>5.0</v>
      </c>
      <c r="T40" s="51">
        <v>5.0</v>
      </c>
      <c r="U40" s="51">
        <v>5.0</v>
      </c>
      <c r="V40" s="51">
        <v>5.0</v>
      </c>
      <c r="W40" s="51">
        <v>5.0</v>
      </c>
      <c r="X40" s="51">
        <v>5.0</v>
      </c>
      <c r="Y40" s="51">
        <v>5.0</v>
      </c>
      <c r="Z40" s="51">
        <v>5.0</v>
      </c>
      <c r="AA40" s="51">
        <v>5.0</v>
      </c>
      <c r="AB40" s="51">
        <v>5.0</v>
      </c>
      <c r="AC40" s="51">
        <v>5.0</v>
      </c>
      <c r="AD40" s="51">
        <v>5.0</v>
      </c>
      <c r="AE40" s="51">
        <v>5.0</v>
      </c>
      <c r="AF40" s="51">
        <v>5.0</v>
      </c>
      <c r="AG40" s="51">
        <v>5.0</v>
      </c>
      <c r="AH40" s="51">
        <v>5.0</v>
      </c>
      <c r="AI40" s="51">
        <v>5.0</v>
      </c>
      <c r="AJ40" s="51">
        <v>5.0</v>
      </c>
      <c r="AK40" s="51">
        <v>5.0</v>
      </c>
      <c r="AL40" s="51">
        <v>5.0</v>
      </c>
    </row>
    <row r="41">
      <c r="C41" s="15" t="s">
        <v>73</v>
      </c>
      <c r="E41" s="18">
        <f>E40</f>
        <v>0</v>
      </c>
      <c r="F41" s="49">
        <f t="shared" ref="F41:AL41" si="13">F40+E41</f>
        <v>0</v>
      </c>
      <c r="G41" s="49">
        <f t="shared" si="13"/>
        <v>1</v>
      </c>
      <c r="H41" s="49">
        <f t="shared" si="13"/>
        <v>2</v>
      </c>
      <c r="I41" s="49">
        <f t="shared" si="13"/>
        <v>7</v>
      </c>
      <c r="J41" s="49">
        <f t="shared" si="13"/>
        <v>12</v>
      </c>
      <c r="K41" s="49">
        <f t="shared" si="13"/>
        <v>17</v>
      </c>
      <c r="L41" s="49">
        <f t="shared" si="13"/>
        <v>22</v>
      </c>
      <c r="M41" s="49">
        <f t="shared" si="13"/>
        <v>27</v>
      </c>
      <c r="N41" s="49">
        <f t="shared" si="13"/>
        <v>32</v>
      </c>
      <c r="O41" s="49">
        <f t="shared" si="13"/>
        <v>37</v>
      </c>
      <c r="P41" s="49">
        <f t="shared" si="13"/>
        <v>42</v>
      </c>
      <c r="Q41" s="49">
        <f t="shared" si="13"/>
        <v>47</v>
      </c>
      <c r="R41" s="49">
        <f t="shared" si="13"/>
        <v>52</v>
      </c>
      <c r="S41" s="49">
        <f t="shared" si="13"/>
        <v>57</v>
      </c>
      <c r="T41" s="49">
        <f t="shared" si="13"/>
        <v>62</v>
      </c>
      <c r="U41" s="49">
        <f t="shared" si="13"/>
        <v>67</v>
      </c>
      <c r="V41" s="49">
        <f t="shared" si="13"/>
        <v>72</v>
      </c>
      <c r="W41" s="49">
        <f t="shared" si="13"/>
        <v>77</v>
      </c>
      <c r="X41" s="49">
        <f t="shared" si="13"/>
        <v>82</v>
      </c>
      <c r="Y41" s="49">
        <f t="shared" si="13"/>
        <v>87</v>
      </c>
      <c r="Z41" s="49">
        <f t="shared" si="13"/>
        <v>92</v>
      </c>
      <c r="AA41" s="49">
        <f t="shared" si="13"/>
        <v>97</v>
      </c>
      <c r="AB41" s="49">
        <f t="shared" si="13"/>
        <v>102</v>
      </c>
      <c r="AC41" s="49">
        <f t="shared" si="13"/>
        <v>107</v>
      </c>
      <c r="AD41" s="49">
        <f t="shared" si="13"/>
        <v>112</v>
      </c>
      <c r="AE41" s="49">
        <f t="shared" si="13"/>
        <v>117</v>
      </c>
      <c r="AF41" s="49">
        <f t="shared" si="13"/>
        <v>122</v>
      </c>
      <c r="AG41" s="49">
        <f t="shared" si="13"/>
        <v>127</v>
      </c>
      <c r="AH41" s="49">
        <f t="shared" si="13"/>
        <v>132</v>
      </c>
      <c r="AI41" s="49">
        <f t="shared" si="13"/>
        <v>137</v>
      </c>
      <c r="AJ41" s="49">
        <f t="shared" si="13"/>
        <v>142</v>
      </c>
      <c r="AK41" s="49">
        <f t="shared" si="13"/>
        <v>147</v>
      </c>
      <c r="AL41" s="49">
        <f t="shared" si="13"/>
        <v>152</v>
      </c>
    </row>
    <row r="42">
      <c r="B42" s="15"/>
    </row>
    <row r="43">
      <c r="B43" s="15" t="s">
        <v>86</v>
      </c>
    </row>
    <row r="44">
      <c r="C44" s="15" t="s">
        <v>87</v>
      </c>
      <c r="E44" s="35">
        <v>5.0</v>
      </c>
      <c r="F44" s="35">
        <v>4.0</v>
      </c>
      <c r="G44" s="35">
        <v>4.0</v>
      </c>
      <c r="H44" s="35">
        <v>4.0</v>
      </c>
      <c r="I44" s="35">
        <v>4.0</v>
      </c>
      <c r="J44" s="35">
        <v>4.0</v>
      </c>
      <c r="K44" s="35">
        <v>4.0</v>
      </c>
      <c r="L44" s="35">
        <v>4.0</v>
      </c>
      <c r="M44" s="35">
        <v>4.0</v>
      </c>
      <c r="N44" s="35">
        <v>4.0</v>
      </c>
      <c r="O44" s="35">
        <v>4.0</v>
      </c>
      <c r="P44" s="35">
        <v>4.0</v>
      </c>
      <c r="Q44" s="35">
        <v>4.0</v>
      </c>
      <c r="R44" s="35">
        <v>4.0</v>
      </c>
      <c r="S44" s="35">
        <v>4.0</v>
      </c>
      <c r="T44" s="35">
        <v>4.0</v>
      </c>
      <c r="U44" s="35">
        <v>4.0</v>
      </c>
      <c r="V44" s="35">
        <v>4.0</v>
      </c>
      <c r="W44" s="35">
        <v>4.0</v>
      </c>
      <c r="X44" s="35">
        <v>4.0</v>
      </c>
      <c r="Y44" s="35">
        <v>4.0</v>
      </c>
      <c r="Z44" s="35">
        <v>4.0</v>
      </c>
      <c r="AA44" s="35">
        <v>4.0</v>
      </c>
      <c r="AB44" s="35">
        <v>4.0</v>
      </c>
      <c r="AC44" s="35">
        <v>4.0</v>
      </c>
      <c r="AD44" s="35">
        <v>4.0</v>
      </c>
      <c r="AE44" s="35">
        <v>4.0</v>
      </c>
      <c r="AF44" s="35">
        <v>4.0</v>
      </c>
      <c r="AG44" s="35">
        <v>4.0</v>
      </c>
      <c r="AH44" s="35">
        <v>4.0</v>
      </c>
      <c r="AI44" s="35">
        <v>4.0</v>
      </c>
      <c r="AJ44" s="35">
        <v>4.0</v>
      </c>
      <c r="AK44" s="35">
        <v>4.0</v>
      </c>
      <c r="AL44" s="35">
        <v>4.0</v>
      </c>
    </row>
    <row r="45">
      <c r="C45" s="15" t="s">
        <v>88</v>
      </c>
      <c r="E45" s="15">
        <f>E44</f>
        <v>5</v>
      </c>
      <c r="F45" s="15">
        <f t="shared" ref="F45:AL45" si="14">E45+F44</f>
        <v>9</v>
      </c>
      <c r="G45" s="15">
        <f t="shared" si="14"/>
        <v>13</v>
      </c>
      <c r="H45" s="15">
        <f t="shared" si="14"/>
        <v>17</v>
      </c>
      <c r="I45" s="15">
        <f t="shared" si="14"/>
        <v>21</v>
      </c>
      <c r="J45" s="15">
        <f t="shared" si="14"/>
        <v>25</v>
      </c>
      <c r="K45" s="15">
        <f t="shared" si="14"/>
        <v>29</v>
      </c>
      <c r="L45" s="15">
        <f t="shared" si="14"/>
        <v>33</v>
      </c>
      <c r="M45" s="15">
        <f t="shared" si="14"/>
        <v>37</v>
      </c>
      <c r="N45" s="15">
        <f t="shared" si="14"/>
        <v>41</v>
      </c>
      <c r="O45" s="15">
        <f t="shared" si="14"/>
        <v>45</v>
      </c>
      <c r="P45" s="15">
        <f t="shared" si="14"/>
        <v>49</v>
      </c>
      <c r="Q45" s="15">
        <f t="shared" si="14"/>
        <v>53</v>
      </c>
      <c r="R45" s="15">
        <f t="shared" si="14"/>
        <v>57</v>
      </c>
      <c r="S45" s="15">
        <f t="shared" si="14"/>
        <v>61</v>
      </c>
      <c r="T45" s="15">
        <f t="shared" si="14"/>
        <v>65</v>
      </c>
      <c r="U45" s="15">
        <f t="shared" si="14"/>
        <v>69</v>
      </c>
      <c r="V45" s="15">
        <f t="shared" si="14"/>
        <v>73</v>
      </c>
      <c r="W45" s="15">
        <f t="shared" si="14"/>
        <v>77</v>
      </c>
      <c r="X45" s="15">
        <f t="shared" si="14"/>
        <v>81</v>
      </c>
      <c r="Y45" s="15">
        <f t="shared" si="14"/>
        <v>85</v>
      </c>
      <c r="Z45" s="15">
        <f t="shared" si="14"/>
        <v>89</v>
      </c>
      <c r="AA45" s="15">
        <f t="shared" si="14"/>
        <v>93</v>
      </c>
      <c r="AB45" s="15">
        <f t="shared" si="14"/>
        <v>97</v>
      </c>
      <c r="AC45" s="15">
        <f t="shared" si="14"/>
        <v>101</v>
      </c>
      <c r="AD45" s="15">
        <f t="shared" si="14"/>
        <v>105</v>
      </c>
      <c r="AE45" s="15">
        <f t="shared" si="14"/>
        <v>109</v>
      </c>
      <c r="AF45" s="15">
        <f t="shared" si="14"/>
        <v>113</v>
      </c>
      <c r="AG45" s="15">
        <f t="shared" si="14"/>
        <v>117</v>
      </c>
      <c r="AH45" s="15">
        <f t="shared" si="14"/>
        <v>121</v>
      </c>
      <c r="AI45" s="15">
        <f t="shared" si="14"/>
        <v>125</v>
      </c>
      <c r="AJ45" s="15">
        <f t="shared" si="14"/>
        <v>129</v>
      </c>
      <c r="AK45" s="15">
        <f t="shared" si="14"/>
        <v>133</v>
      </c>
      <c r="AL45" s="15">
        <f t="shared" si="14"/>
        <v>137</v>
      </c>
    </row>
    <row r="46">
      <c r="C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>
      <c r="C47" s="15" t="s">
        <v>89</v>
      </c>
      <c r="E47" s="15">
        <v>1.0</v>
      </c>
      <c r="F47" s="15">
        <v>2.0</v>
      </c>
      <c r="G47" s="15">
        <v>3.0</v>
      </c>
      <c r="H47" s="15">
        <v>4.0</v>
      </c>
      <c r="I47" s="15">
        <v>5.0</v>
      </c>
      <c r="J47" s="15">
        <v>6.0</v>
      </c>
      <c r="K47" s="15">
        <v>7.0</v>
      </c>
      <c r="L47" s="15">
        <v>8.0</v>
      </c>
      <c r="M47" s="15">
        <v>9.0</v>
      </c>
      <c r="N47" s="15">
        <v>10.0</v>
      </c>
      <c r="O47" s="15">
        <v>11.0</v>
      </c>
      <c r="P47" s="15">
        <v>12.0</v>
      </c>
      <c r="R47" s="15" t="s">
        <v>90</v>
      </c>
    </row>
    <row r="48">
      <c r="C48" s="15" t="s">
        <v>91</v>
      </c>
      <c r="E48" s="39">
        <v>0.0</v>
      </c>
      <c r="F48" s="39">
        <v>0.0</v>
      </c>
      <c r="G48" s="39">
        <v>0.1</v>
      </c>
      <c r="H48" s="39">
        <v>0.2</v>
      </c>
      <c r="I48" s="39">
        <v>0.3</v>
      </c>
      <c r="J48" s="39">
        <v>0.4</v>
      </c>
      <c r="K48" s="39">
        <v>0.5</v>
      </c>
      <c r="L48" s="39">
        <v>0.6</v>
      </c>
      <c r="M48" s="39">
        <v>0.7</v>
      </c>
      <c r="N48" s="39">
        <v>0.8</v>
      </c>
      <c r="O48" s="39">
        <v>0.9</v>
      </c>
      <c r="P48" s="39">
        <v>1.0</v>
      </c>
    </row>
    <row r="49">
      <c r="C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>
      <c r="C50" s="15" t="s">
        <v>92</v>
      </c>
      <c r="E50" s="15">
        <f>E45*E48</f>
        <v>0</v>
      </c>
      <c r="F50" s="15">
        <f>E44*F48+F44*E48</f>
        <v>0</v>
      </c>
      <c r="G50" s="15">
        <f>E45*G48+F45*F48+G45*E48</f>
        <v>0.5</v>
      </c>
      <c r="H50" s="15">
        <f>H48*E44+F44*G48</f>
        <v>1.4</v>
      </c>
      <c r="I50" s="15">
        <f>I48*E44+H48*F44+G48*G44</f>
        <v>2.7</v>
      </c>
      <c r="J50" s="15">
        <f>E44*J48+F44*I48+G44*H48+H44*G48</f>
        <v>4.4</v>
      </c>
      <c r="K50" s="15">
        <f>E44*K48+F44*J48+G44*I48+H44*H48+I44*G48</f>
        <v>6.5</v>
      </c>
      <c r="L50" s="15">
        <f>E44*L48+F44*K48+G44*J48+H44*I48+I44*H48+J44*G48</f>
        <v>9</v>
      </c>
      <c r="M50" s="15">
        <f>E44*M48+F44*L48+G44*K48+H44*J48+I44*I48+J44*H48+K44*G48</f>
        <v>11.9</v>
      </c>
      <c r="N50" s="15">
        <f>E44*N48+F44*M48+G44*L48+H44*K48+I44*J48+J44*I48+K44*H48+L44*G48</f>
        <v>15.2</v>
      </c>
      <c r="O50" s="15">
        <f>E44*$O48+F44*$N48+G44*$M48+H44*$L48+I44*$K48+J44*$J48+K44*$I48+L44*$H48+M44*$G48+N44*$F48</f>
        <v>18.9</v>
      </c>
      <c r="P50" s="15">
        <f>E44*P48+F44*O48+G44*N48+H44*M48+I44*L48+J44*K48+K44*J48+L44*I48+M44*H48+N44*G48</f>
        <v>23</v>
      </c>
      <c r="Q50" s="15">
        <f t="shared" ref="Q50:AL50" si="15">F45+G44*$E48+H44*$F48+I44*$G48+J44*$H48+K44*$I48+L44*$J48+M44*$K48+N44*$L48+O44*$M48+P44*$N48+Q44*$O48</f>
        <v>27</v>
      </c>
      <c r="R50" s="15">
        <f t="shared" si="15"/>
        <v>31</v>
      </c>
      <c r="S50" s="15">
        <f t="shared" si="15"/>
        <v>35</v>
      </c>
      <c r="T50" s="15">
        <f t="shared" si="15"/>
        <v>39</v>
      </c>
      <c r="U50" s="15">
        <f t="shared" si="15"/>
        <v>43</v>
      </c>
      <c r="V50" s="15">
        <f t="shared" si="15"/>
        <v>47</v>
      </c>
      <c r="W50" s="15">
        <f t="shared" si="15"/>
        <v>51</v>
      </c>
      <c r="X50" s="15">
        <f t="shared" si="15"/>
        <v>55</v>
      </c>
      <c r="Y50" s="15">
        <f t="shared" si="15"/>
        <v>59</v>
      </c>
      <c r="Z50" s="15">
        <f t="shared" si="15"/>
        <v>63</v>
      </c>
      <c r="AA50" s="15">
        <f t="shared" si="15"/>
        <v>67</v>
      </c>
      <c r="AB50" s="15">
        <f t="shared" si="15"/>
        <v>71</v>
      </c>
      <c r="AC50" s="15">
        <f t="shared" si="15"/>
        <v>75</v>
      </c>
      <c r="AD50" s="15">
        <f t="shared" si="15"/>
        <v>79</v>
      </c>
      <c r="AE50" s="15">
        <f t="shared" si="15"/>
        <v>83</v>
      </c>
      <c r="AF50" s="15">
        <f t="shared" si="15"/>
        <v>87</v>
      </c>
      <c r="AG50" s="15">
        <f t="shared" si="15"/>
        <v>91</v>
      </c>
      <c r="AH50" s="15">
        <f t="shared" si="15"/>
        <v>95</v>
      </c>
      <c r="AI50" s="15">
        <f t="shared" si="15"/>
        <v>99</v>
      </c>
      <c r="AJ50" s="15">
        <f t="shared" si="15"/>
        <v>103</v>
      </c>
      <c r="AK50" s="15">
        <f t="shared" si="15"/>
        <v>107</v>
      </c>
      <c r="AL50" s="15">
        <f t="shared" si="15"/>
        <v>111</v>
      </c>
    </row>
    <row r="51">
      <c r="C51" s="15" t="s">
        <v>93</v>
      </c>
      <c r="D51" s="35">
        <v>150.0</v>
      </c>
    </row>
    <row r="52">
      <c r="C52" s="15" t="s">
        <v>94</v>
      </c>
      <c r="E52" s="15">
        <f>E50*Wachstum!$D51</f>
        <v>0</v>
      </c>
      <c r="F52" s="15">
        <f>F50*Wachstum!$D51</f>
        <v>0</v>
      </c>
      <c r="G52" s="15">
        <f>G50*Wachstum!$D51</f>
        <v>75</v>
      </c>
      <c r="H52" s="15">
        <f>H50*Wachstum!$D51</f>
        <v>210</v>
      </c>
      <c r="I52" s="15">
        <f>I50*Wachstum!$D51</f>
        <v>405</v>
      </c>
      <c r="J52" s="15">
        <f>J50*Wachstum!$D51</f>
        <v>660</v>
      </c>
      <c r="K52" s="15">
        <f>K50*Wachstum!$D51</f>
        <v>975</v>
      </c>
      <c r="L52" s="15">
        <f>L50*Wachstum!$D51</f>
        <v>1350</v>
      </c>
      <c r="M52" s="15">
        <f>M50*Wachstum!$D51</f>
        <v>1785</v>
      </c>
      <c r="N52" s="15">
        <f>N50*Wachstum!$D51</f>
        <v>2280</v>
      </c>
      <c r="O52" s="15">
        <f>O50*Wachstum!$D51</f>
        <v>2835</v>
      </c>
      <c r="P52" s="15">
        <f>P50*Wachstum!$D51</f>
        <v>3450</v>
      </c>
      <c r="Q52" s="15">
        <f>Q50*Wachstum!$D51</f>
        <v>4050</v>
      </c>
      <c r="R52" s="15">
        <f>R50*Wachstum!$D51</f>
        <v>4650</v>
      </c>
      <c r="S52" s="15">
        <f>S50*Wachstum!$D51</f>
        <v>5250</v>
      </c>
      <c r="T52" s="15">
        <f>T50*Wachstum!$D51</f>
        <v>5850</v>
      </c>
      <c r="U52" s="15">
        <f>U50*Wachstum!$D51</f>
        <v>6450</v>
      </c>
      <c r="V52" s="15">
        <f>V50*Wachstum!$D51</f>
        <v>7050</v>
      </c>
      <c r="W52" s="15">
        <f>W50*Wachstum!$D51</f>
        <v>7650</v>
      </c>
      <c r="X52" s="15">
        <f>X50*Wachstum!$D51</f>
        <v>8250</v>
      </c>
      <c r="Y52" s="15">
        <f>Y50*Wachstum!$D51</f>
        <v>8850</v>
      </c>
      <c r="Z52" s="15">
        <f>Z50*Wachstum!$D51</f>
        <v>9450</v>
      </c>
      <c r="AA52" s="15">
        <f>AA50*Wachstum!$D51</f>
        <v>10050</v>
      </c>
      <c r="AB52" s="15">
        <f>AB50*Wachstum!$D51</f>
        <v>10650</v>
      </c>
      <c r="AC52" s="15">
        <f>AC50*Wachstum!$D51</f>
        <v>11250</v>
      </c>
      <c r="AD52" s="15">
        <f>AD50*Wachstum!$D51</f>
        <v>11850</v>
      </c>
      <c r="AE52" s="15">
        <f>AE50*Wachstum!$D51</f>
        <v>12450</v>
      </c>
      <c r="AF52" s="15">
        <f>AF50*Wachstum!$D51</f>
        <v>13050</v>
      </c>
      <c r="AG52" s="15">
        <f>AG50*Wachstum!$D51</f>
        <v>13650</v>
      </c>
      <c r="AH52" s="15">
        <f>AH50*Wachstum!$D51</f>
        <v>14250</v>
      </c>
      <c r="AI52" s="15">
        <f>AI50*Wachstum!$D51</f>
        <v>14850</v>
      </c>
      <c r="AJ52" s="15">
        <f>AJ50*Wachstum!$D51</f>
        <v>15450</v>
      </c>
      <c r="AK52" s="15">
        <f>AK50*Wachstum!$D51</f>
        <v>16050</v>
      </c>
      <c r="AL52" s="15">
        <f>AL50*Wachstum!$D51</f>
        <v>16650</v>
      </c>
    </row>
    <row r="54">
      <c r="C54" s="15" t="s">
        <v>95</v>
      </c>
      <c r="D54" s="39">
        <v>0.06</v>
      </c>
    </row>
    <row r="55">
      <c r="C55" s="15" t="s">
        <v>72</v>
      </c>
      <c r="E55" s="51">
        <f>ROUND(E52*Wachstum!$D54,0)</f>
        <v>0</v>
      </c>
      <c r="F55" s="51">
        <f>ROUND(F52*Wachstum!$D54,0)</f>
        <v>0</v>
      </c>
      <c r="G55" s="51">
        <f>ROUND(G52*Wachstum!$D54,0)</f>
        <v>5</v>
      </c>
      <c r="H55" s="51">
        <f>ROUND(H52*Wachstum!$D54,0)</f>
        <v>13</v>
      </c>
      <c r="I55" s="51">
        <f>ROUND(I52*Wachstum!$D54,0)</f>
        <v>24</v>
      </c>
      <c r="J55" s="51">
        <f>ROUND(J52*Wachstum!$D54,0)</f>
        <v>40</v>
      </c>
      <c r="K55" s="51">
        <f>ROUND(K52*Wachstum!$D54,0)</f>
        <v>59</v>
      </c>
      <c r="L55" s="51">
        <f>ROUND(L52*Wachstum!$D54,0)</f>
        <v>81</v>
      </c>
      <c r="M55" s="51">
        <f>ROUND(M52*Wachstum!$D54,0)</f>
        <v>107</v>
      </c>
      <c r="N55" s="51">
        <f>ROUND(N52*Wachstum!$D54,0)</f>
        <v>137</v>
      </c>
      <c r="O55" s="51">
        <f>ROUND(O52*Wachstum!$D54,0)</f>
        <v>170</v>
      </c>
      <c r="P55" s="51">
        <f>ROUND(P52*Wachstum!$D54,0)</f>
        <v>207</v>
      </c>
      <c r="Q55" s="51">
        <f>ROUND(Q52*Wachstum!$D54,0)</f>
        <v>243</v>
      </c>
      <c r="R55" s="51">
        <f>ROUND(R52*Wachstum!$D54,0)</f>
        <v>279</v>
      </c>
      <c r="S55" s="51">
        <f>ROUND(S52*Wachstum!$D54,0)</f>
        <v>315</v>
      </c>
      <c r="T55" s="51">
        <f>ROUND(T52*Wachstum!$D54,0)</f>
        <v>351</v>
      </c>
      <c r="U55" s="51">
        <f>ROUND(U52*Wachstum!$D54,0)</f>
        <v>387</v>
      </c>
      <c r="V55" s="51">
        <f>ROUND(V52*Wachstum!$D54,0)</f>
        <v>423</v>
      </c>
      <c r="W55" s="51">
        <f>ROUND(W52*Wachstum!$D54,0)</f>
        <v>459</v>
      </c>
      <c r="X55" s="51">
        <f>ROUND(X52*Wachstum!$D54,0)</f>
        <v>495</v>
      </c>
      <c r="Y55" s="51">
        <f>ROUND(Y52*Wachstum!$D54,0)</f>
        <v>531</v>
      </c>
      <c r="Z55" s="51">
        <f>ROUND(Z52*Wachstum!$D54,0)</f>
        <v>567</v>
      </c>
      <c r="AA55" s="51">
        <f>ROUND(AA52*Wachstum!$D54,0)</f>
        <v>603</v>
      </c>
      <c r="AB55" s="51">
        <f>ROUND(AB52*Wachstum!$D54,0)</f>
        <v>639</v>
      </c>
      <c r="AC55" s="51">
        <f>ROUND(AC52*Wachstum!$D54,0)</f>
        <v>675</v>
      </c>
      <c r="AD55" s="51">
        <f>ROUND(AD52*Wachstum!$D54,0)</f>
        <v>711</v>
      </c>
      <c r="AE55" s="51">
        <f>ROUND(AE52*Wachstum!$D54,0)</f>
        <v>747</v>
      </c>
      <c r="AF55" s="51">
        <f>ROUND(AF52*Wachstum!$D54,0)</f>
        <v>783</v>
      </c>
      <c r="AG55" s="51">
        <f>ROUND(AG52*Wachstum!$D54,0)</f>
        <v>819</v>
      </c>
      <c r="AH55" s="51">
        <f>ROUND(AH52*Wachstum!$D54,0)</f>
        <v>855</v>
      </c>
      <c r="AI55" s="51">
        <f>ROUND(AI52*Wachstum!$D54,0)</f>
        <v>891</v>
      </c>
      <c r="AJ55" s="51">
        <f>ROUND(AJ52*Wachstum!$D54,0)</f>
        <v>927</v>
      </c>
      <c r="AK55" s="51">
        <f>ROUND(AK52*Wachstum!$D54,0)</f>
        <v>963</v>
      </c>
      <c r="AL55" s="51">
        <f>ROUND(AL52*Wachstum!$D54,0)</f>
        <v>999</v>
      </c>
    </row>
    <row r="56">
      <c r="C56" s="15" t="s">
        <v>73</v>
      </c>
      <c r="E56" s="18">
        <f>E55</f>
        <v>0</v>
      </c>
      <c r="F56" s="49">
        <f t="shared" ref="F56:AL56" si="16">F55+E56</f>
        <v>0</v>
      </c>
      <c r="G56" s="49">
        <f t="shared" si="16"/>
        <v>5</v>
      </c>
      <c r="H56" s="49">
        <f t="shared" si="16"/>
        <v>18</v>
      </c>
      <c r="I56" s="49">
        <f t="shared" si="16"/>
        <v>42</v>
      </c>
      <c r="J56" s="49">
        <f t="shared" si="16"/>
        <v>82</v>
      </c>
      <c r="K56" s="49">
        <f t="shared" si="16"/>
        <v>141</v>
      </c>
      <c r="L56" s="49">
        <f t="shared" si="16"/>
        <v>222</v>
      </c>
      <c r="M56" s="49">
        <f t="shared" si="16"/>
        <v>329</v>
      </c>
      <c r="N56" s="49">
        <f t="shared" si="16"/>
        <v>466</v>
      </c>
      <c r="O56" s="49">
        <f t="shared" si="16"/>
        <v>636</v>
      </c>
      <c r="P56" s="49">
        <f t="shared" si="16"/>
        <v>843</v>
      </c>
      <c r="Q56" s="49">
        <f t="shared" si="16"/>
        <v>1086</v>
      </c>
      <c r="R56" s="49">
        <f t="shared" si="16"/>
        <v>1365</v>
      </c>
      <c r="S56" s="49">
        <f t="shared" si="16"/>
        <v>1680</v>
      </c>
      <c r="T56" s="49">
        <f t="shared" si="16"/>
        <v>2031</v>
      </c>
      <c r="U56" s="49">
        <f t="shared" si="16"/>
        <v>2418</v>
      </c>
      <c r="V56" s="49">
        <f t="shared" si="16"/>
        <v>2841</v>
      </c>
      <c r="W56" s="49">
        <f t="shared" si="16"/>
        <v>3300</v>
      </c>
      <c r="X56" s="49">
        <f t="shared" si="16"/>
        <v>3795</v>
      </c>
      <c r="Y56" s="49">
        <f t="shared" si="16"/>
        <v>4326</v>
      </c>
      <c r="Z56" s="49">
        <f t="shared" si="16"/>
        <v>4893</v>
      </c>
      <c r="AA56" s="49">
        <f t="shared" si="16"/>
        <v>5496</v>
      </c>
      <c r="AB56" s="49">
        <f t="shared" si="16"/>
        <v>6135</v>
      </c>
      <c r="AC56" s="49">
        <f t="shared" si="16"/>
        <v>6810</v>
      </c>
      <c r="AD56" s="49">
        <f t="shared" si="16"/>
        <v>7521</v>
      </c>
      <c r="AE56" s="49">
        <f t="shared" si="16"/>
        <v>8268</v>
      </c>
      <c r="AF56" s="49">
        <f t="shared" si="16"/>
        <v>9051</v>
      </c>
      <c r="AG56" s="49">
        <f t="shared" si="16"/>
        <v>9870</v>
      </c>
      <c r="AH56" s="49">
        <f t="shared" si="16"/>
        <v>10725</v>
      </c>
      <c r="AI56" s="49">
        <f t="shared" si="16"/>
        <v>11616</v>
      </c>
      <c r="AJ56" s="49">
        <f t="shared" si="16"/>
        <v>12543</v>
      </c>
      <c r="AK56" s="49">
        <f t="shared" si="16"/>
        <v>13506</v>
      </c>
      <c r="AL56" s="49">
        <f t="shared" si="16"/>
        <v>14505</v>
      </c>
    </row>
    <row r="58">
      <c r="A58" s="10" t="s">
        <v>96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>
      <c r="B59" s="15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</row>
    <row r="60">
      <c r="B60" s="15" t="s">
        <v>97</v>
      </c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</row>
    <row r="61">
      <c r="C61" s="15" t="s">
        <v>72</v>
      </c>
      <c r="E61" s="51">
        <v>0.0</v>
      </c>
      <c r="F61" s="51">
        <v>0.0</v>
      </c>
      <c r="G61" s="51">
        <v>0.0</v>
      </c>
      <c r="H61" s="51">
        <v>0.0</v>
      </c>
      <c r="I61" s="51">
        <v>0.0</v>
      </c>
      <c r="J61" s="51">
        <v>0.0</v>
      </c>
      <c r="K61" s="51">
        <v>0.0</v>
      </c>
      <c r="L61" s="51">
        <v>0.0</v>
      </c>
      <c r="M61" s="51">
        <v>0.0</v>
      </c>
      <c r="N61" s="51">
        <v>0.0</v>
      </c>
      <c r="O61" s="51">
        <v>0.0</v>
      </c>
      <c r="P61" s="51">
        <v>0.0</v>
      </c>
      <c r="Q61" s="51">
        <v>0.0</v>
      </c>
      <c r="R61" s="51">
        <v>0.0</v>
      </c>
      <c r="S61" s="51">
        <v>0.0</v>
      </c>
      <c r="T61" s="51">
        <v>0.0</v>
      </c>
      <c r="U61" s="51">
        <v>0.0</v>
      </c>
      <c r="V61" s="51">
        <v>0.0</v>
      </c>
      <c r="W61" s="51">
        <v>0.0</v>
      </c>
      <c r="X61" s="51">
        <v>0.0</v>
      </c>
      <c r="Y61" s="51">
        <v>0.0</v>
      </c>
      <c r="Z61" s="51">
        <v>0.0</v>
      </c>
      <c r="AA61" s="51">
        <v>0.0</v>
      </c>
      <c r="AB61" s="51">
        <v>0.0</v>
      </c>
      <c r="AC61" s="51">
        <v>0.0</v>
      </c>
      <c r="AD61" s="51">
        <v>0.0</v>
      </c>
      <c r="AE61" s="51">
        <v>0.0</v>
      </c>
      <c r="AF61" s="51">
        <v>0.0</v>
      </c>
      <c r="AG61" s="51">
        <v>0.0</v>
      </c>
      <c r="AH61" s="51">
        <v>0.0</v>
      </c>
      <c r="AI61" s="51">
        <v>0.0</v>
      </c>
      <c r="AJ61" s="51">
        <v>0.0</v>
      </c>
      <c r="AK61" s="51">
        <v>0.0</v>
      </c>
      <c r="AL61" s="51">
        <v>0.0</v>
      </c>
    </row>
    <row r="62">
      <c r="C62" s="15" t="s">
        <v>73</v>
      </c>
      <c r="E62" s="18">
        <f>E61</f>
        <v>0</v>
      </c>
      <c r="F62" s="49">
        <f t="shared" ref="F62:AL62" si="17">F61+E62</f>
        <v>0</v>
      </c>
      <c r="G62" s="49">
        <f t="shared" si="17"/>
        <v>0</v>
      </c>
      <c r="H62" s="49">
        <f t="shared" si="17"/>
        <v>0</v>
      </c>
      <c r="I62" s="49">
        <f t="shared" si="17"/>
        <v>0</v>
      </c>
      <c r="J62" s="49">
        <f t="shared" si="17"/>
        <v>0</v>
      </c>
      <c r="K62" s="49">
        <f t="shared" si="17"/>
        <v>0</v>
      </c>
      <c r="L62" s="49">
        <f t="shared" si="17"/>
        <v>0</v>
      </c>
      <c r="M62" s="49">
        <f t="shared" si="17"/>
        <v>0</v>
      </c>
      <c r="N62" s="49">
        <f t="shared" si="17"/>
        <v>0</v>
      </c>
      <c r="O62" s="49">
        <f t="shared" si="17"/>
        <v>0</v>
      </c>
      <c r="P62" s="49">
        <f t="shared" si="17"/>
        <v>0</v>
      </c>
      <c r="Q62" s="49">
        <f t="shared" si="17"/>
        <v>0</v>
      </c>
      <c r="R62" s="49">
        <f t="shared" si="17"/>
        <v>0</v>
      </c>
      <c r="S62" s="49">
        <f t="shared" si="17"/>
        <v>0</v>
      </c>
      <c r="T62" s="49">
        <f t="shared" si="17"/>
        <v>0</v>
      </c>
      <c r="U62" s="49">
        <f t="shared" si="17"/>
        <v>0</v>
      </c>
      <c r="V62" s="49">
        <f t="shared" si="17"/>
        <v>0</v>
      </c>
      <c r="W62" s="49">
        <f t="shared" si="17"/>
        <v>0</v>
      </c>
      <c r="X62" s="49">
        <f t="shared" si="17"/>
        <v>0</v>
      </c>
      <c r="Y62" s="49">
        <f t="shared" si="17"/>
        <v>0</v>
      </c>
      <c r="Z62" s="49">
        <f t="shared" si="17"/>
        <v>0</v>
      </c>
      <c r="AA62" s="49">
        <f t="shared" si="17"/>
        <v>0</v>
      </c>
      <c r="AB62" s="49">
        <f t="shared" si="17"/>
        <v>0</v>
      </c>
      <c r="AC62" s="49">
        <f t="shared" si="17"/>
        <v>0</v>
      </c>
      <c r="AD62" s="49">
        <f t="shared" si="17"/>
        <v>0</v>
      </c>
      <c r="AE62" s="49">
        <f t="shared" si="17"/>
        <v>0</v>
      </c>
      <c r="AF62" s="49">
        <f t="shared" si="17"/>
        <v>0</v>
      </c>
      <c r="AG62" s="49">
        <f t="shared" si="17"/>
        <v>0</v>
      </c>
      <c r="AH62" s="49">
        <f t="shared" si="17"/>
        <v>0</v>
      </c>
      <c r="AI62" s="49">
        <f t="shared" si="17"/>
        <v>0</v>
      </c>
      <c r="AJ62" s="49">
        <f t="shared" si="17"/>
        <v>0</v>
      </c>
      <c r="AK62" s="49">
        <f t="shared" si="17"/>
        <v>0</v>
      </c>
      <c r="AL62" s="49">
        <f t="shared" si="17"/>
        <v>0</v>
      </c>
    </row>
    <row r="63">
      <c r="B63" s="15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</row>
    <row r="64">
      <c r="B64" s="15" t="s">
        <v>98</v>
      </c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</row>
    <row r="65">
      <c r="C65" s="15" t="s">
        <v>72</v>
      </c>
      <c r="E65" s="51">
        <v>0.0</v>
      </c>
      <c r="F65" s="51">
        <v>0.0</v>
      </c>
      <c r="G65" s="51">
        <v>0.0</v>
      </c>
      <c r="H65" s="51">
        <v>0.0</v>
      </c>
      <c r="I65" s="51">
        <v>0.0</v>
      </c>
      <c r="J65" s="51">
        <v>0.0</v>
      </c>
      <c r="K65" s="51">
        <v>0.0</v>
      </c>
      <c r="L65" s="51">
        <v>0.0</v>
      </c>
      <c r="M65" s="51">
        <v>0.0</v>
      </c>
      <c r="N65" s="51">
        <v>0.0</v>
      </c>
      <c r="O65" s="51">
        <v>0.0</v>
      </c>
      <c r="P65" s="51">
        <v>0.0</v>
      </c>
      <c r="Q65" s="51">
        <v>0.0</v>
      </c>
      <c r="R65" s="51">
        <v>0.0</v>
      </c>
      <c r="S65" s="51">
        <v>0.0</v>
      </c>
      <c r="T65" s="51">
        <v>0.0</v>
      </c>
      <c r="U65" s="51">
        <v>0.0</v>
      </c>
      <c r="V65" s="51">
        <v>0.0</v>
      </c>
      <c r="W65" s="51">
        <v>0.0</v>
      </c>
      <c r="X65" s="51">
        <v>0.0</v>
      </c>
      <c r="Y65" s="51">
        <v>0.0</v>
      </c>
      <c r="Z65" s="51">
        <v>0.0</v>
      </c>
      <c r="AA65" s="51">
        <v>0.0</v>
      </c>
      <c r="AB65" s="51">
        <v>0.0</v>
      </c>
      <c r="AC65" s="51">
        <v>0.0</v>
      </c>
      <c r="AD65" s="51">
        <v>0.0</v>
      </c>
      <c r="AE65" s="51">
        <v>0.0</v>
      </c>
      <c r="AF65" s="51">
        <v>0.0</v>
      </c>
      <c r="AG65" s="51">
        <v>0.0</v>
      </c>
      <c r="AH65" s="51">
        <v>0.0</v>
      </c>
      <c r="AI65" s="51">
        <v>0.0</v>
      </c>
      <c r="AJ65" s="51">
        <v>0.0</v>
      </c>
      <c r="AK65" s="51">
        <v>0.0</v>
      </c>
      <c r="AL65" s="51">
        <v>0.0</v>
      </c>
    </row>
    <row r="66">
      <c r="B66" s="15"/>
      <c r="C66" s="15" t="s">
        <v>73</v>
      </c>
      <c r="E66" s="18">
        <f>E65</f>
        <v>0</v>
      </c>
      <c r="F66" s="49">
        <f t="shared" ref="F66:AL66" si="18">F65+E66</f>
        <v>0</v>
      </c>
      <c r="G66" s="49">
        <f t="shared" si="18"/>
        <v>0</v>
      </c>
      <c r="H66" s="49">
        <f t="shared" si="18"/>
        <v>0</v>
      </c>
      <c r="I66" s="49">
        <f t="shared" si="18"/>
        <v>0</v>
      </c>
      <c r="J66" s="49">
        <f t="shared" si="18"/>
        <v>0</v>
      </c>
      <c r="K66" s="49">
        <f t="shared" si="18"/>
        <v>0</v>
      </c>
      <c r="L66" s="49">
        <f t="shared" si="18"/>
        <v>0</v>
      </c>
      <c r="M66" s="49">
        <f t="shared" si="18"/>
        <v>0</v>
      </c>
      <c r="N66" s="49">
        <f t="shared" si="18"/>
        <v>0</v>
      </c>
      <c r="O66" s="49">
        <f t="shared" si="18"/>
        <v>0</v>
      </c>
      <c r="P66" s="49">
        <f t="shared" si="18"/>
        <v>0</v>
      </c>
      <c r="Q66" s="49">
        <f t="shared" si="18"/>
        <v>0</v>
      </c>
      <c r="R66" s="49">
        <f t="shared" si="18"/>
        <v>0</v>
      </c>
      <c r="S66" s="49">
        <f t="shared" si="18"/>
        <v>0</v>
      </c>
      <c r="T66" s="49">
        <f t="shared" si="18"/>
        <v>0</v>
      </c>
      <c r="U66" s="49">
        <f t="shared" si="18"/>
        <v>0</v>
      </c>
      <c r="V66" s="49">
        <f t="shared" si="18"/>
        <v>0</v>
      </c>
      <c r="W66" s="49">
        <f t="shared" si="18"/>
        <v>0</v>
      </c>
      <c r="X66" s="49">
        <f t="shared" si="18"/>
        <v>0</v>
      </c>
      <c r="Y66" s="49">
        <f t="shared" si="18"/>
        <v>0</v>
      </c>
      <c r="Z66" s="49">
        <f t="shared" si="18"/>
        <v>0</v>
      </c>
      <c r="AA66" s="49">
        <f t="shared" si="18"/>
        <v>0</v>
      </c>
      <c r="AB66" s="49">
        <f t="shared" si="18"/>
        <v>0</v>
      </c>
      <c r="AC66" s="49">
        <f t="shared" si="18"/>
        <v>0</v>
      </c>
      <c r="AD66" s="49">
        <f t="shared" si="18"/>
        <v>0</v>
      </c>
      <c r="AE66" s="49">
        <f t="shared" si="18"/>
        <v>0</v>
      </c>
      <c r="AF66" s="49">
        <f t="shared" si="18"/>
        <v>0</v>
      </c>
      <c r="AG66" s="49">
        <f t="shared" si="18"/>
        <v>0</v>
      </c>
      <c r="AH66" s="49">
        <f t="shared" si="18"/>
        <v>0</v>
      </c>
      <c r="AI66" s="49">
        <f t="shared" si="18"/>
        <v>0</v>
      </c>
      <c r="AJ66" s="49">
        <f t="shared" si="18"/>
        <v>0</v>
      </c>
      <c r="AK66" s="49">
        <f t="shared" si="18"/>
        <v>0</v>
      </c>
      <c r="AL66" s="49">
        <f t="shared" si="18"/>
        <v>0</v>
      </c>
    </row>
    <row r="67">
      <c r="B67" s="15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</row>
    <row r="68">
      <c r="B68" s="15" t="s">
        <v>99</v>
      </c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</row>
    <row r="69">
      <c r="C69" s="15" t="s">
        <v>72</v>
      </c>
      <c r="E69" s="35">
        <v>0.0</v>
      </c>
      <c r="F69" s="35">
        <v>0.0</v>
      </c>
      <c r="G69" s="35">
        <v>0.0</v>
      </c>
      <c r="H69" s="35">
        <v>0.0</v>
      </c>
      <c r="I69" s="35">
        <v>0.0</v>
      </c>
      <c r="J69" s="35">
        <v>0.0</v>
      </c>
      <c r="K69" s="35">
        <v>0.0</v>
      </c>
      <c r="L69" s="35">
        <v>0.0</v>
      </c>
      <c r="M69" s="35">
        <v>0.0</v>
      </c>
      <c r="N69" s="35">
        <v>0.0</v>
      </c>
      <c r="O69" s="35">
        <v>0.0</v>
      </c>
      <c r="P69" s="35">
        <v>0.0</v>
      </c>
      <c r="Q69" s="35">
        <v>0.0</v>
      </c>
      <c r="R69" s="35">
        <v>0.0</v>
      </c>
      <c r="S69" s="35">
        <v>0.0</v>
      </c>
      <c r="T69" s="35">
        <v>0.0</v>
      </c>
      <c r="U69" s="35">
        <v>0.0</v>
      </c>
      <c r="V69" s="35">
        <v>0.0</v>
      </c>
      <c r="W69" s="35">
        <v>0.0</v>
      </c>
      <c r="X69" s="35">
        <v>0.0</v>
      </c>
      <c r="Y69" s="35">
        <v>0.0</v>
      </c>
      <c r="Z69" s="35">
        <v>0.0</v>
      </c>
      <c r="AA69" s="35">
        <v>0.0</v>
      </c>
      <c r="AB69" s="35">
        <v>0.0</v>
      </c>
      <c r="AC69" s="35">
        <v>0.0</v>
      </c>
      <c r="AD69" s="35">
        <v>0.0</v>
      </c>
      <c r="AE69" s="35">
        <v>0.0</v>
      </c>
      <c r="AF69" s="35">
        <v>0.0</v>
      </c>
      <c r="AG69" s="35">
        <v>0.0</v>
      </c>
      <c r="AH69" s="35">
        <v>0.0</v>
      </c>
      <c r="AI69" s="35">
        <v>0.0</v>
      </c>
      <c r="AJ69" s="35">
        <v>0.0</v>
      </c>
      <c r="AK69" s="35">
        <v>0.0</v>
      </c>
      <c r="AL69" s="35">
        <v>0.0</v>
      </c>
    </row>
    <row r="70">
      <c r="B70" s="15"/>
      <c r="C70" s="15" t="s">
        <v>73</v>
      </c>
      <c r="E70" s="18">
        <f>E69</f>
        <v>0</v>
      </c>
      <c r="F70" s="49">
        <f t="shared" ref="F70:AL70" si="19">F69+E70</f>
        <v>0</v>
      </c>
      <c r="G70" s="49">
        <f t="shared" si="19"/>
        <v>0</v>
      </c>
      <c r="H70" s="49">
        <f t="shared" si="19"/>
        <v>0</v>
      </c>
      <c r="I70" s="49">
        <f t="shared" si="19"/>
        <v>0</v>
      </c>
      <c r="J70" s="49">
        <f t="shared" si="19"/>
        <v>0</v>
      </c>
      <c r="K70" s="49">
        <f t="shared" si="19"/>
        <v>0</v>
      </c>
      <c r="L70" s="49">
        <f t="shared" si="19"/>
        <v>0</v>
      </c>
      <c r="M70" s="49">
        <f t="shared" si="19"/>
        <v>0</v>
      </c>
      <c r="N70" s="49">
        <f t="shared" si="19"/>
        <v>0</v>
      </c>
      <c r="O70" s="49">
        <f t="shared" si="19"/>
        <v>0</v>
      </c>
      <c r="P70" s="49">
        <f t="shared" si="19"/>
        <v>0</v>
      </c>
      <c r="Q70" s="49">
        <f t="shared" si="19"/>
        <v>0</v>
      </c>
      <c r="R70" s="49">
        <f t="shared" si="19"/>
        <v>0</v>
      </c>
      <c r="S70" s="49">
        <f t="shared" si="19"/>
        <v>0</v>
      </c>
      <c r="T70" s="49">
        <f t="shared" si="19"/>
        <v>0</v>
      </c>
      <c r="U70" s="49">
        <f t="shared" si="19"/>
        <v>0</v>
      </c>
      <c r="V70" s="49">
        <f t="shared" si="19"/>
        <v>0</v>
      </c>
      <c r="W70" s="49">
        <f t="shared" si="19"/>
        <v>0</v>
      </c>
      <c r="X70" s="49">
        <f t="shared" si="19"/>
        <v>0</v>
      </c>
      <c r="Y70" s="49">
        <f t="shared" si="19"/>
        <v>0</v>
      </c>
      <c r="Z70" s="49">
        <f t="shared" si="19"/>
        <v>0</v>
      </c>
      <c r="AA70" s="49">
        <f t="shared" si="19"/>
        <v>0</v>
      </c>
      <c r="AB70" s="49">
        <f t="shared" si="19"/>
        <v>0</v>
      </c>
      <c r="AC70" s="49">
        <f t="shared" si="19"/>
        <v>0</v>
      </c>
      <c r="AD70" s="49">
        <f t="shared" si="19"/>
        <v>0</v>
      </c>
      <c r="AE70" s="49">
        <f t="shared" si="19"/>
        <v>0</v>
      </c>
      <c r="AF70" s="49">
        <f t="shared" si="19"/>
        <v>0</v>
      </c>
      <c r="AG70" s="49">
        <f t="shared" si="19"/>
        <v>0</v>
      </c>
      <c r="AH70" s="49">
        <f t="shared" si="19"/>
        <v>0</v>
      </c>
      <c r="AI70" s="49">
        <f t="shared" si="19"/>
        <v>0</v>
      </c>
      <c r="AJ70" s="49">
        <f t="shared" si="19"/>
        <v>0</v>
      </c>
      <c r="AK70" s="49">
        <f t="shared" si="19"/>
        <v>0</v>
      </c>
      <c r="AL70" s="49">
        <f t="shared" si="19"/>
        <v>0</v>
      </c>
    </row>
    <row r="71">
      <c r="B71" s="15"/>
    </row>
    <row r="72">
      <c r="B72" s="15" t="s">
        <v>100</v>
      </c>
    </row>
    <row r="73">
      <c r="C73" s="15" t="s">
        <v>72</v>
      </c>
      <c r="E73" s="35">
        <v>0.0</v>
      </c>
      <c r="F73" s="35">
        <v>0.0</v>
      </c>
      <c r="G73" s="35">
        <v>0.0</v>
      </c>
      <c r="H73" s="35">
        <v>0.0</v>
      </c>
      <c r="I73" s="35">
        <v>0.0</v>
      </c>
      <c r="J73" s="35">
        <v>0.0</v>
      </c>
      <c r="K73" s="35">
        <v>0.0</v>
      </c>
      <c r="L73" s="35">
        <v>0.0</v>
      </c>
      <c r="M73" s="35">
        <v>0.0</v>
      </c>
      <c r="N73" s="35">
        <v>0.0</v>
      </c>
      <c r="O73" s="35">
        <v>0.0</v>
      </c>
      <c r="P73" s="35">
        <v>0.0</v>
      </c>
      <c r="Q73" s="35">
        <v>0.0</v>
      </c>
      <c r="R73" s="35">
        <v>0.0</v>
      </c>
      <c r="S73" s="35">
        <v>0.0</v>
      </c>
      <c r="T73" s="35">
        <v>0.0</v>
      </c>
      <c r="U73" s="35">
        <v>0.0</v>
      </c>
      <c r="V73" s="35">
        <v>0.0</v>
      </c>
      <c r="W73" s="35">
        <v>0.0</v>
      </c>
      <c r="X73" s="35">
        <v>0.0</v>
      </c>
      <c r="Y73" s="35">
        <v>0.0</v>
      </c>
      <c r="Z73" s="35">
        <v>0.0</v>
      </c>
      <c r="AA73" s="35">
        <v>0.0</v>
      </c>
      <c r="AB73" s="35">
        <v>0.0</v>
      </c>
      <c r="AC73" s="35">
        <v>0.0</v>
      </c>
      <c r="AD73" s="35">
        <v>0.0</v>
      </c>
      <c r="AE73" s="35">
        <v>0.0</v>
      </c>
      <c r="AF73" s="35">
        <v>0.0</v>
      </c>
      <c r="AG73" s="35">
        <v>0.0</v>
      </c>
      <c r="AH73" s="35">
        <v>0.0</v>
      </c>
      <c r="AI73" s="35">
        <v>0.0</v>
      </c>
      <c r="AJ73" s="35">
        <v>0.0</v>
      </c>
      <c r="AK73" s="35">
        <v>0.0</v>
      </c>
      <c r="AL73" s="35">
        <v>0.0</v>
      </c>
    </row>
    <row r="74">
      <c r="B74" s="15"/>
      <c r="C74" s="15" t="s">
        <v>73</v>
      </c>
      <c r="E74" s="18">
        <f>E73</f>
        <v>0</v>
      </c>
      <c r="F74" s="49">
        <f t="shared" ref="F74:AL74" si="20">F73+E74</f>
        <v>0</v>
      </c>
      <c r="G74" s="49">
        <f t="shared" si="20"/>
        <v>0</v>
      </c>
      <c r="H74" s="49">
        <f t="shared" si="20"/>
        <v>0</v>
      </c>
      <c r="I74" s="49">
        <f t="shared" si="20"/>
        <v>0</v>
      </c>
      <c r="J74" s="49">
        <f t="shared" si="20"/>
        <v>0</v>
      </c>
      <c r="K74" s="49">
        <f t="shared" si="20"/>
        <v>0</v>
      </c>
      <c r="L74" s="49">
        <f t="shared" si="20"/>
        <v>0</v>
      </c>
      <c r="M74" s="49">
        <f t="shared" si="20"/>
        <v>0</v>
      </c>
      <c r="N74" s="49">
        <f t="shared" si="20"/>
        <v>0</v>
      </c>
      <c r="O74" s="49">
        <f t="shared" si="20"/>
        <v>0</v>
      </c>
      <c r="P74" s="49">
        <f t="shared" si="20"/>
        <v>0</v>
      </c>
      <c r="Q74" s="49">
        <f t="shared" si="20"/>
        <v>0</v>
      </c>
      <c r="R74" s="49">
        <f t="shared" si="20"/>
        <v>0</v>
      </c>
      <c r="S74" s="49">
        <f t="shared" si="20"/>
        <v>0</v>
      </c>
      <c r="T74" s="49">
        <f t="shared" si="20"/>
        <v>0</v>
      </c>
      <c r="U74" s="49">
        <f t="shared" si="20"/>
        <v>0</v>
      </c>
      <c r="V74" s="49">
        <f t="shared" si="20"/>
        <v>0</v>
      </c>
      <c r="W74" s="49">
        <f t="shared" si="20"/>
        <v>0</v>
      </c>
      <c r="X74" s="49">
        <f t="shared" si="20"/>
        <v>0</v>
      </c>
      <c r="Y74" s="49">
        <f t="shared" si="20"/>
        <v>0</v>
      </c>
      <c r="Z74" s="49">
        <f t="shared" si="20"/>
        <v>0</v>
      </c>
      <c r="AA74" s="49">
        <f t="shared" si="20"/>
        <v>0</v>
      </c>
      <c r="AB74" s="49">
        <f t="shared" si="20"/>
        <v>0</v>
      </c>
      <c r="AC74" s="49">
        <f t="shared" si="20"/>
        <v>0</v>
      </c>
      <c r="AD74" s="49">
        <f t="shared" si="20"/>
        <v>0</v>
      </c>
      <c r="AE74" s="49">
        <f t="shared" si="20"/>
        <v>0</v>
      </c>
      <c r="AF74" s="49">
        <f t="shared" si="20"/>
        <v>0</v>
      </c>
      <c r="AG74" s="49">
        <f t="shared" si="20"/>
        <v>0</v>
      </c>
      <c r="AH74" s="49">
        <f t="shared" si="20"/>
        <v>0</v>
      </c>
      <c r="AI74" s="49">
        <f t="shared" si="20"/>
        <v>0</v>
      </c>
      <c r="AJ74" s="49">
        <f t="shared" si="20"/>
        <v>0</v>
      </c>
      <c r="AK74" s="49">
        <f t="shared" si="20"/>
        <v>0</v>
      </c>
      <c r="AL74" s="49">
        <f t="shared" si="20"/>
        <v>0</v>
      </c>
    </row>
    <row r="75">
      <c r="B75" s="15"/>
    </row>
    <row r="77"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75"/>
    <col customWidth="1" min="3" max="3" width="47.38"/>
    <col customWidth="1" min="4" max="4" width="8.75"/>
    <col customWidth="1" min="5" max="5" width="7.63"/>
    <col customWidth="1" min="6" max="6" width="6.25"/>
    <col customWidth="1" min="7" max="25" width="7.63"/>
    <col customWidth="1" min="26" max="38" width="8.5"/>
  </cols>
  <sheetData>
    <row r="1">
      <c r="E1" s="47">
        <v>46112.0</v>
      </c>
      <c r="F1" s="47">
        <f t="shared" ref="F1:AL1" si="1">EOMONTH(E1,1)</f>
        <v>46142</v>
      </c>
      <c r="G1" s="47">
        <f t="shared" si="1"/>
        <v>46173</v>
      </c>
      <c r="H1" s="47">
        <f t="shared" si="1"/>
        <v>46203</v>
      </c>
      <c r="I1" s="47">
        <f t="shared" si="1"/>
        <v>46234</v>
      </c>
      <c r="J1" s="47">
        <f t="shared" si="1"/>
        <v>46265</v>
      </c>
      <c r="K1" s="47">
        <f t="shared" si="1"/>
        <v>46295</v>
      </c>
      <c r="L1" s="47">
        <f t="shared" si="1"/>
        <v>46326</v>
      </c>
      <c r="M1" s="47">
        <f t="shared" si="1"/>
        <v>46356</v>
      </c>
      <c r="N1" s="47">
        <f t="shared" si="1"/>
        <v>46387</v>
      </c>
      <c r="O1" s="47">
        <f t="shared" si="1"/>
        <v>46418</v>
      </c>
      <c r="P1" s="47">
        <f t="shared" si="1"/>
        <v>46446</v>
      </c>
      <c r="Q1" s="47">
        <f t="shared" si="1"/>
        <v>46477</v>
      </c>
      <c r="R1" s="47">
        <f t="shared" si="1"/>
        <v>46507</v>
      </c>
      <c r="S1" s="47">
        <f t="shared" si="1"/>
        <v>46538</v>
      </c>
      <c r="T1" s="47">
        <f t="shared" si="1"/>
        <v>46568</v>
      </c>
      <c r="U1" s="47">
        <f t="shared" si="1"/>
        <v>46599</v>
      </c>
      <c r="V1" s="47">
        <f t="shared" si="1"/>
        <v>46630</v>
      </c>
      <c r="W1" s="47">
        <f t="shared" si="1"/>
        <v>46660</v>
      </c>
      <c r="X1" s="47">
        <f t="shared" si="1"/>
        <v>46691</v>
      </c>
      <c r="Y1" s="47">
        <f t="shared" si="1"/>
        <v>46721</v>
      </c>
      <c r="Z1" s="47">
        <f t="shared" si="1"/>
        <v>46752</v>
      </c>
      <c r="AA1" s="47">
        <f t="shared" si="1"/>
        <v>46783</v>
      </c>
      <c r="AB1" s="47">
        <f t="shared" si="1"/>
        <v>46812</v>
      </c>
      <c r="AC1" s="47">
        <f t="shared" si="1"/>
        <v>46843</v>
      </c>
      <c r="AD1" s="47">
        <f t="shared" si="1"/>
        <v>46873</v>
      </c>
      <c r="AE1" s="47">
        <f t="shared" si="1"/>
        <v>46904</v>
      </c>
      <c r="AF1" s="47">
        <f t="shared" si="1"/>
        <v>46934</v>
      </c>
      <c r="AG1" s="47">
        <f t="shared" si="1"/>
        <v>46965</v>
      </c>
      <c r="AH1" s="47">
        <f t="shared" si="1"/>
        <v>46996</v>
      </c>
      <c r="AI1" s="47">
        <f t="shared" si="1"/>
        <v>47026</v>
      </c>
      <c r="AJ1" s="47">
        <f t="shared" si="1"/>
        <v>47057</v>
      </c>
      <c r="AK1" s="47">
        <f t="shared" si="1"/>
        <v>47087</v>
      </c>
      <c r="AL1" s="47">
        <f t="shared" si="1"/>
        <v>47118</v>
      </c>
    </row>
    <row r="3">
      <c r="A3" s="54" t="s">
        <v>101</v>
      </c>
      <c r="B3" s="10"/>
      <c r="C3" s="10"/>
      <c r="D3" s="11"/>
      <c r="E3" s="13">
        <f t="shared" ref="E3:AL3" si="2">E5+E13</f>
        <v>-2857.3</v>
      </c>
      <c r="F3" s="13">
        <f t="shared" si="2"/>
        <v>-1697.1</v>
      </c>
      <c r="G3" s="13">
        <f t="shared" si="2"/>
        <v>-1213.9</v>
      </c>
      <c r="H3" s="13">
        <f t="shared" si="2"/>
        <v>-1356.5</v>
      </c>
      <c r="I3" s="13">
        <f t="shared" si="2"/>
        <v>-1513.7</v>
      </c>
      <c r="J3" s="13">
        <f t="shared" si="2"/>
        <v>-1757.02</v>
      </c>
      <c r="K3" s="13">
        <f t="shared" si="2"/>
        <v>-2182.14</v>
      </c>
      <c r="L3" s="13">
        <f t="shared" si="2"/>
        <v>-2956.26</v>
      </c>
      <c r="M3" s="13">
        <f t="shared" si="2"/>
        <v>-2702.3</v>
      </c>
      <c r="N3" s="13">
        <f t="shared" si="2"/>
        <v>-3070.54</v>
      </c>
      <c r="O3" s="13">
        <f t="shared" si="2"/>
        <v>-3447.9</v>
      </c>
      <c r="P3" s="13">
        <f t="shared" si="2"/>
        <v>-3874.66</v>
      </c>
      <c r="Q3" s="13">
        <f t="shared" si="2"/>
        <v>-5062.34</v>
      </c>
      <c r="R3" s="13">
        <f t="shared" si="2"/>
        <v>-5353.42</v>
      </c>
      <c r="S3" s="13">
        <f t="shared" si="2"/>
        <v>-5416.42</v>
      </c>
      <c r="T3" s="13">
        <f t="shared" si="2"/>
        <v>-5985.02</v>
      </c>
      <c r="U3" s="13">
        <f t="shared" si="2"/>
        <v>-6537.94</v>
      </c>
      <c r="V3" s="13">
        <f t="shared" si="2"/>
        <v>-7158.26</v>
      </c>
      <c r="W3" s="13">
        <f t="shared" si="2"/>
        <v>-7834.5</v>
      </c>
      <c r="X3" s="13">
        <f t="shared" si="2"/>
        <v>-8563.66</v>
      </c>
      <c r="Y3" s="13">
        <f t="shared" si="2"/>
        <v>-9348.22</v>
      </c>
      <c r="Z3" s="13">
        <f t="shared" si="2"/>
        <v>-10165.5</v>
      </c>
      <c r="AA3" s="13">
        <f t="shared" si="2"/>
        <v>-11237.7</v>
      </c>
      <c r="AB3" s="13">
        <f t="shared" si="2"/>
        <v>-12068.82</v>
      </c>
      <c r="AC3" s="13">
        <f t="shared" si="2"/>
        <v>-13250.86</v>
      </c>
      <c r="AD3" s="13">
        <f t="shared" si="2"/>
        <v>-14457.42</v>
      </c>
      <c r="AE3" s="13">
        <f t="shared" si="2"/>
        <v>-15045.9</v>
      </c>
      <c r="AF3" s="13">
        <f t="shared" si="2"/>
        <v>-16173.1</v>
      </c>
      <c r="AG3" s="13">
        <f t="shared" si="2"/>
        <v>-17393.02</v>
      </c>
      <c r="AH3" s="13">
        <f t="shared" si="2"/>
        <v>-18651.66</v>
      </c>
      <c r="AI3" s="13">
        <f t="shared" si="2"/>
        <v>-19978.02</v>
      </c>
      <c r="AJ3" s="13">
        <f t="shared" si="2"/>
        <v>-21378.9</v>
      </c>
      <c r="AK3" s="13">
        <f t="shared" si="2"/>
        <v>-22851.02</v>
      </c>
      <c r="AL3" s="13">
        <f t="shared" si="2"/>
        <v>-24399.66</v>
      </c>
    </row>
    <row r="4"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</row>
    <row r="5">
      <c r="A5" s="54" t="s">
        <v>12</v>
      </c>
      <c r="B5" s="10"/>
      <c r="C5" s="10"/>
      <c r="D5" s="11"/>
      <c r="E5" s="55">
        <f t="shared" ref="E5:AL5" si="3">-SUM(E8:E11)</f>
        <v>-10.8</v>
      </c>
      <c r="F5" s="55">
        <f t="shared" si="3"/>
        <v>-21.6</v>
      </c>
      <c r="G5" s="55">
        <f t="shared" si="3"/>
        <v>-38.4</v>
      </c>
      <c r="H5" s="55">
        <f t="shared" si="3"/>
        <v>-82</v>
      </c>
      <c r="I5" s="55">
        <f t="shared" si="3"/>
        <v>-219.2</v>
      </c>
      <c r="J5" s="55">
        <f t="shared" si="3"/>
        <v>-362.52</v>
      </c>
      <c r="K5" s="55">
        <f t="shared" si="3"/>
        <v>-637.64</v>
      </c>
      <c r="L5" s="55">
        <f t="shared" si="3"/>
        <v>-911.76</v>
      </c>
      <c r="M5" s="55">
        <f t="shared" si="3"/>
        <v>-1157.8</v>
      </c>
      <c r="N5" s="55">
        <f t="shared" si="3"/>
        <v>-1526.04</v>
      </c>
      <c r="O5" s="55">
        <f t="shared" si="3"/>
        <v>-1903.4</v>
      </c>
      <c r="P5" s="55">
        <f t="shared" si="3"/>
        <v>-2330.16</v>
      </c>
      <c r="Q5" s="55">
        <f t="shared" si="3"/>
        <v>-2796.84</v>
      </c>
      <c r="R5" s="55">
        <f t="shared" si="3"/>
        <v>-3308.92</v>
      </c>
      <c r="S5" s="55">
        <f t="shared" si="3"/>
        <v>-3871.92</v>
      </c>
      <c r="T5" s="55">
        <f t="shared" si="3"/>
        <v>-4440.52</v>
      </c>
      <c r="U5" s="55">
        <f t="shared" si="3"/>
        <v>-4993.44</v>
      </c>
      <c r="V5" s="55">
        <f t="shared" si="3"/>
        <v>-5613.76</v>
      </c>
      <c r="W5" s="55">
        <f t="shared" si="3"/>
        <v>-6290</v>
      </c>
      <c r="X5" s="55">
        <f t="shared" si="3"/>
        <v>-7019.16</v>
      </c>
      <c r="Y5" s="55">
        <f t="shared" si="3"/>
        <v>-7803.72</v>
      </c>
      <c r="Z5" s="55">
        <f t="shared" si="3"/>
        <v>-8621</v>
      </c>
      <c r="AA5" s="55">
        <f t="shared" si="3"/>
        <v>-9493.2</v>
      </c>
      <c r="AB5" s="55">
        <f t="shared" si="3"/>
        <v>-10424.32</v>
      </c>
      <c r="AC5" s="55">
        <f t="shared" si="3"/>
        <v>-11385.36</v>
      </c>
      <c r="AD5" s="55">
        <f t="shared" si="3"/>
        <v>-12412.92</v>
      </c>
      <c r="AE5" s="55">
        <f t="shared" si="3"/>
        <v>-13501.4</v>
      </c>
      <c r="AF5" s="55">
        <f t="shared" si="3"/>
        <v>-14628.6</v>
      </c>
      <c r="AG5" s="55">
        <f t="shared" si="3"/>
        <v>-15848.52</v>
      </c>
      <c r="AH5" s="55">
        <f t="shared" si="3"/>
        <v>-17107.16</v>
      </c>
      <c r="AI5" s="55">
        <f t="shared" si="3"/>
        <v>-18433.52</v>
      </c>
      <c r="AJ5" s="55">
        <f t="shared" si="3"/>
        <v>-19834.4</v>
      </c>
      <c r="AK5" s="55">
        <f t="shared" si="3"/>
        <v>-21306.52</v>
      </c>
      <c r="AL5" s="55">
        <f t="shared" si="3"/>
        <v>-22855.16</v>
      </c>
    </row>
    <row r="6">
      <c r="B6" s="15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</row>
    <row r="7">
      <c r="B7" s="24" t="s">
        <v>102</v>
      </c>
      <c r="C7" s="23"/>
      <c r="D7" s="24" t="s">
        <v>103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>
      <c r="B8" s="15"/>
      <c r="C8" s="15" t="s">
        <v>104</v>
      </c>
      <c r="D8" s="40">
        <v>2.0</v>
      </c>
      <c r="E8" s="16">
        <f>$D8*Umsatz!D10</f>
        <v>6</v>
      </c>
      <c r="F8" s="16">
        <f>$D8*Umsatz!E10</f>
        <v>12</v>
      </c>
      <c r="G8" s="16">
        <f>$D8*Umsatz!F10</f>
        <v>24</v>
      </c>
      <c r="H8" s="16">
        <f>$D8*Umsatz!G10</f>
        <v>58</v>
      </c>
      <c r="I8" s="16">
        <f>$D8*Umsatz!H10</f>
        <v>122</v>
      </c>
      <c r="J8" s="16">
        <f>$D8*Umsatz!I10</f>
        <v>210</v>
      </c>
      <c r="K8" s="16">
        <f>$D8*Umsatz!J10</f>
        <v>374</v>
      </c>
      <c r="L8" s="16">
        <f>$D8*Umsatz!K10</f>
        <v>510</v>
      </c>
      <c r="M8" s="16">
        <f>$D8*Umsatz!L10</f>
        <v>604</v>
      </c>
      <c r="N8" s="16">
        <f>$D8*Umsatz!M10</f>
        <v>774</v>
      </c>
      <c r="O8" s="16">
        <f>$D8*Umsatz!N10</f>
        <v>944</v>
      </c>
      <c r="P8" s="16">
        <f>$D8*Umsatz!O10</f>
        <v>1122</v>
      </c>
      <c r="Q8" s="16">
        <f>$D8*Umsatz!P10</f>
        <v>1326</v>
      </c>
      <c r="R8" s="16">
        <f>$D8*Umsatz!Q10</f>
        <v>1534</v>
      </c>
      <c r="S8" s="16">
        <f>$D8*Umsatz!R10</f>
        <v>1752</v>
      </c>
      <c r="T8" s="16">
        <f>$D8*Umsatz!S10</f>
        <v>1966</v>
      </c>
      <c r="U8" s="16">
        <f>$D8*Umsatz!T10</f>
        <v>2160</v>
      </c>
      <c r="V8" s="16">
        <f>$D8*Umsatz!U10</f>
        <v>2380</v>
      </c>
      <c r="W8" s="16">
        <f>$D8*Umsatz!V10</f>
        <v>2642</v>
      </c>
      <c r="X8" s="16">
        <f>$D8*Umsatz!W10</f>
        <v>2916</v>
      </c>
      <c r="Y8" s="16">
        <f>$D8*Umsatz!X10</f>
        <v>3204</v>
      </c>
      <c r="Z8" s="16">
        <f>$D8*Umsatz!Y10</f>
        <v>3506</v>
      </c>
      <c r="AA8" s="16">
        <f>$D8*Umsatz!Z10</f>
        <v>3822</v>
      </c>
      <c r="AB8" s="16">
        <f>$D8*Umsatz!AA10</f>
        <v>4156</v>
      </c>
      <c r="AC8" s="16">
        <f>$D8*Umsatz!AB10</f>
        <v>4506</v>
      </c>
      <c r="AD8" s="16">
        <f>$D8*Umsatz!AC10</f>
        <v>4872</v>
      </c>
      <c r="AE8" s="16">
        <f>$D8*Umsatz!AD10</f>
        <v>5258</v>
      </c>
      <c r="AF8" s="16">
        <f>$D8*Umsatz!AE10</f>
        <v>5664</v>
      </c>
      <c r="AG8" s="16">
        <f>$D8*Umsatz!AF10</f>
        <v>6090</v>
      </c>
      <c r="AH8" s="16">
        <f>$D8*Umsatz!AG10</f>
        <v>6536</v>
      </c>
      <c r="AI8" s="16">
        <f>$D8*Umsatz!AH10</f>
        <v>7004</v>
      </c>
      <c r="AJ8" s="16">
        <f>$D8*Umsatz!AI10</f>
        <v>7496</v>
      </c>
      <c r="AK8" s="16">
        <f>$D8*Umsatz!AJ10</f>
        <v>8014</v>
      </c>
      <c r="AL8" s="16">
        <f>$D8*Umsatz!AK10</f>
        <v>8558</v>
      </c>
    </row>
    <row r="9">
      <c r="B9" s="15"/>
      <c r="C9" s="15" t="s">
        <v>105</v>
      </c>
      <c r="D9" s="39">
        <v>0.25</v>
      </c>
      <c r="E9" s="16">
        <f>Umsatz!D18*$D9</f>
        <v>3.75</v>
      </c>
      <c r="F9" s="16">
        <f>Umsatz!E18*$D9</f>
        <v>7.5</v>
      </c>
      <c r="G9" s="16">
        <f>Umsatz!F18*$D9</f>
        <v>11.25</v>
      </c>
      <c r="H9" s="16">
        <f>Umsatz!G18*$D9</f>
        <v>18.75</v>
      </c>
      <c r="I9" s="16">
        <f>Umsatz!H18*$D9</f>
        <v>33.75</v>
      </c>
      <c r="J9" s="16">
        <f>Umsatz!I18*$D9</f>
        <v>55.875</v>
      </c>
      <c r="K9" s="16">
        <f>Umsatz!J18*$D9</f>
        <v>100.5</v>
      </c>
      <c r="L9" s="16">
        <f>Umsatz!K18*$D9</f>
        <v>145.125</v>
      </c>
      <c r="M9" s="16">
        <f>Umsatz!L18*$D9</f>
        <v>200.625</v>
      </c>
      <c r="N9" s="16">
        <f>Umsatz!M18*$D9</f>
        <v>271.125</v>
      </c>
      <c r="O9" s="16">
        <f>Umsatz!N18*$D9</f>
        <v>348.75</v>
      </c>
      <c r="P9" s="16">
        <f>Umsatz!O18*$D9</f>
        <v>437.625</v>
      </c>
      <c r="Q9" s="16">
        <f>Umsatz!P18*$D9</f>
        <v>537.375</v>
      </c>
      <c r="R9" s="16">
        <f>Umsatz!Q18*$D9</f>
        <v>648.375</v>
      </c>
      <c r="S9" s="16">
        <f>Umsatz!R18*$D9</f>
        <v>770.25</v>
      </c>
      <c r="T9" s="16">
        <f>Umsatz!S18*$D9</f>
        <v>899.625</v>
      </c>
      <c r="U9" s="16">
        <f>Umsatz!T18*$D9</f>
        <v>1032.375</v>
      </c>
      <c r="V9" s="16">
        <f>Umsatz!U18*$D9</f>
        <v>1176.375</v>
      </c>
      <c r="W9" s="16">
        <f>Umsatz!V18*$D9</f>
        <v>1331.25</v>
      </c>
      <c r="X9" s="16">
        <f>Umsatz!W18*$D9</f>
        <v>1497</v>
      </c>
      <c r="Y9" s="16">
        <f>Umsatz!X18*$D9</f>
        <v>1674</v>
      </c>
      <c r="Z9" s="16">
        <f>Umsatz!Y18*$D9</f>
        <v>1865.625</v>
      </c>
      <c r="AA9" s="16">
        <f>Umsatz!Z18*$D9</f>
        <v>2068.125</v>
      </c>
      <c r="AB9" s="16">
        <f>Umsatz!AA18*$D9</f>
        <v>2281.5</v>
      </c>
      <c r="AC9" s="16">
        <f>Umsatz!AB18*$D9</f>
        <v>2505.75</v>
      </c>
      <c r="AD9" s="16">
        <f>Umsatz!AC18*$D9</f>
        <v>2748.375</v>
      </c>
      <c r="AE9" s="16">
        <f>Umsatz!AD18*$D9</f>
        <v>3001.875</v>
      </c>
      <c r="AF9" s="16">
        <f>Umsatz!AE18*$D9</f>
        <v>3270</v>
      </c>
      <c r="AG9" s="16">
        <f>Umsatz!AF18*$D9</f>
        <v>3552.75</v>
      </c>
      <c r="AH9" s="16">
        <f>Umsatz!AG18*$D9</f>
        <v>3850.125</v>
      </c>
      <c r="AI9" s="16">
        <f>Umsatz!AH18*$D9</f>
        <v>4162.125</v>
      </c>
      <c r="AJ9" s="16">
        <f>Umsatz!AI18*$D9</f>
        <v>4492.5</v>
      </c>
      <c r="AK9" s="16">
        <f>Umsatz!AJ18*$D9</f>
        <v>4837.125</v>
      </c>
      <c r="AL9" s="16">
        <f>Umsatz!AK18*$D9</f>
        <v>5200.125</v>
      </c>
    </row>
    <row r="10">
      <c r="B10" s="15"/>
      <c r="C10" s="15" t="s">
        <v>106</v>
      </c>
      <c r="D10" s="39">
        <v>0.2</v>
      </c>
      <c r="E10" s="16">
        <f>$D10*Umsatz!D38</f>
        <v>0</v>
      </c>
      <c r="F10" s="16">
        <f>$D10*Umsatz!E38</f>
        <v>0</v>
      </c>
      <c r="G10" s="16">
        <f>$D10*Umsatz!F38</f>
        <v>0</v>
      </c>
      <c r="H10" s="16">
        <f>$D10*Umsatz!G38</f>
        <v>0</v>
      </c>
      <c r="I10" s="16">
        <f>$D10*Umsatz!H38</f>
        <v>40</v>
      </c>
      <c r="J10" s="16">
        <f>$D10*Umsatz!I38</f>
        <v>60</v>
      </c>
      <c r="K10" s="16">
        <f>$D10*Umsatz!J38</f>
        <v>100</v>
      </c>
      <c r="L10" s="16">
        <f>$D10*Umsatz!K38</f>
        <v>160</v>
      </c>
      <c r="M10" s="16">
        <f>$D10*Umsatz!L38</f>
        <v>220</v>
      </c>
      <c r="N10" s="16">
        <f>$D10*Umsatz!M38</f>
        <v>300</v>
      </c>
      <c r="O10" s="16">
        <f>$D10*Umsatz!N38</f>
        <v>380</v>
      </c>
      <c r="P10" s="16">
        <f>$D10*Umsatz!O38</f>
        <v>480</v>
      </c>
      <c r="Q10" s="16">
        <f>$D10*Umsatz!P38</f>
        <v>580</v>
      </c>
      <c r="R10" s="16">
        <f>$D10*Umsatz!Q38</f>
        <v>700</v>
      </c>
      <c r="S10" s="16">
        <f>$D10*Umsatz!R38</f>
        <v>840</v>
      </c>
      <c r="T10" s="16">
        <f>$D10*Umsatz!S38</f>
        <v>980</v>
      </c>
      <c r="U10" s="16">
        <f>$D10*Umsatz!T38</f>
        <v>1120</v>
      </c>
      <c r="V10" s="16">
        <f>$D10*Umsatz!U38</f>
        <v>1280</v>
      </c>
      <c r="W10" s="16">
        <f>$D10*Umsatz!V38</f>
        <v>1440</v>
      </c>
      <c r="X10" s="16">
        <f>$D10*Umsatz!W38</f>
        <v>1620</v>
      </c>
      <c r="Y10" s="16">
        <f>$D10*Umsatz!X38</f>
        <v>1820</v>
      </c>
      <c r="Z10" s="16">
        <f>$D10*Umsatz!Y38</f>
        <v>2020</v>
      </c>
      <c r="AA10" s="16">
        <f>$D10*Umsatz!Z38</f>
        <v>2240</v>
      </c>
      <c r="AB10" s="16">
        <f>$D10*Umsatz!AA38</f>
        <v>2480</v>
      </c>
      <c r="AC10" s="16">
        <f>$D10*Umsatz!AB38</f>
        <v>2720</v>
      </c>
      <c r="AD10" s="16">
        <f>$D10*Umsatz!AC38</f>
        <v>2980</v>
      </c>
      <c r="AE10" s="16">
        <f>$D10*Umsatz!AD38</f>
        <v>3260</v>
      </c>
      <c r="AF10" s="16">
        <f>$D10*Umsatz!AE38</f>
        <v>3540</v>
      </c>
      <c r="AG10" s="16">
        <f>$D10*Umsatz!AF38</f>
        <v>3860</v>
      </c>
      <c r="AH10" s="16">
        <f>$D10*Umsatz!AG38</f>
        <v>4180</v>
      </c>
      <c r="AI10" s="16">
        <f>$D10*Umsatz!AH38</f>
        <v>4520</v>
      </c>
      <c r="AJ10" s="16">
        <f>$D10*Umsatz!AI38</f>
        <v>4880</v>
      </c>
      <c r="AK10" s="16">
        <f>$D10*Umsatz!AJ38</f>
        <v>5260</v>
      </c>
      <c r="AL10" s="16">
        <f>$D10*Umsatz!AK38</f>
        <v>5660</v>
      </c>
    </row>
    <row r="11">
      <c r="B11" s="15"/>
      <c r="C11" s="15" t="s">
        <v>107</v>
      </c>
      <c r="D11" s="56">
        <v>0.07</v>
      </c>
      <c r="E11" s="16">
        <f>$D11*Umsatz!D5</f>
        <v>1.05</v>
      </c>
      <c r="F11" s="16">
        <f>$D11*Umsatz!E5</f>
        <v>2.1</v>
      </c>
      <c r="G11" s="16">
        <f>$D11*Umsatz!F5</f>
        <v>3.15</v>
      </c>
      <c r="H11" s="16">
        <f>$D11*Umsatz!G5</f>
        <v>5.25</v>
      </c>
      <c r="I11" s="16">
        <f>$D11*Umsatz!H5</f>
        <v>23.45</v>
      </c>
      <c r="J11" s="16">
        <f>$D11*Umsatz!I5</f>
        <v>36.645</v>
      </c>
      <c r="K11" s="16">
        <f>$D11*Umsatz!J5</f>
        <v>63.14</v>
      </c>
      <c r="L11" s="16">
        <f>$D11*Umsatz!K5</f>
        <v>96.635</v>
      </c>
      <c r="M11" s="16">
        <f>$D11*Umsatz!L5</f>
        <v>133.175</v>
      </c>
      <c r="N11" s="16">
        <f>$D11*Umsatz!M5</f>
        <v>180.915</v>
      </c>
      <c r="O11" s="16">
        <f>$D11*Umsatz!N5</f>
        <v>230.65</v>
      </c>
      <c r="P11" s="16">
        <f>$D11*Umsatz!O5</f>
        <v>290.535</v>
      </c>
      <c r="Q11" s="16">
        <f>$D11*Umsatz!P5</f>
        <v>353.465</v>
      </c>
      <c r="R11" s="16">
        <f>$D11*Umsatz!Q5</f>
        <v>426.545</v>
      </c>
      <c r="S11" s="16">
        <f>$D11*Umsatz!R5</f>
        <v>509.67</v>
      </c>
      <c r="T11" s="16">
        <f>$D11*Umsatz!S5</f>
        <v>594.895</v>
      </c>
      <c r="U11" s="16">
        <f>$D11*Umsatz!T5</f>
        <v>681.065</v>
      </c>
      <c r="V11" s="16">
        <f>$D11*Umsatz!U5</f>
        <v>777.385</v>
      </c>
      <c r="W11" s="16">
        <f>$D11*Umsatz!V5</f>
        <v>876.75</v>
      </c>
      <c r="X11" s="16">
        <f>$D11*Umsatz!W5</f>
        <v>986.16</v>
      </c>
      <c r="Y11" s="16">
        <f>$D11*Umsatz!X5</f>
        <v>1105.72</v>
      </c>
      <c r="Z11" s="16">
        <f>$D11*Umsatz!Y5</f>
        <v>1229.375</v>
      </c>
      <c r="AA11" s="16">
        <f>$D11*Umsatz!Z5</f>
        <v>1363.075</v>
      </c>
      <c r="AB11" s="16">
        <f>$D11*Umsatz!AA5</f>
        <v>1506.82</v>
      </c>
      <c r="AC11" s="16">
        <f>$D11*Umsatz!AB5</f>
        <v>1653.61</v>
      </c>
      <c r="AD11" s="16">
        <f>$D11*Umsatz!AC5</f>
        <v>1812.545</v>
      </c>
      <c r="AE11" s="16">
        <f>$D11*Umsatz!AD5</f>
        <v>1981.525</v>
      </c>
      <c r="AF11" s="16">
        <f>$D11*Umsatz!AE5</f>
        <v>2154.6</v>
      </c>
      <c r="AG11" s="16">
        <f>$D11*Umsatz!AF5</f>
        <v>2345.77</v>
      </c>
      <c r="AH11" s="16">
        <f>$D11*Umsatz!AG5</f>
        <v>2541.035</v>
      </c>
      <c r="AI11" s="16">
        <f>$D11*Umsatz!AH5</f>
        <v>2747.395</v>
      </c>
      <c r="AJ11" s="16">
        <f>$D11*Umsatz!AI5</f>
        <v>2965.9</v>
      </c>
      <c r="AK11" s="16">
        <f>$D11*Umsatz!AJ5</f>
        <v>3195.395</v>
      </c>
      <c r="AL11" s="16">
        <f>$D11*Umsatz!AK5</f>
        <v>3437.035</v>
      </c>
    </row>
    <row r="12">
      <c r="B12" s="15"/>
      <c r="C12" s="15"/>
      <c r="D12" s="5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</row>
    <row r="13">
      <c r="A13" s="54" t="s">
        <v>14</v>
      </c>
      <c r="B13" s="23"/>
      <c r="C13" s="23"/>
      <c r="D13" s="23"/>
      <c r="E13" s="25">
        <f t="shared" ref="E13:AL13" si="4">E15+E21+E29+E48+E55+E39</f>
        <v>-2846.5</v>
      </c>
      <c r="F13" s="25">
        <f t="shared" si="4"/>
        <v>-1675.5</v>
      </c>
      <c r="G13" s="25">
        <f t="shared" si="4"/>
        <v>-1175.5</v>
      </c>
      <c r="H13" s="25">
        <f t="shared" si="4"/>
        <v>-1274.5</v>
      </c>
      <c r="I13" s="25">
        <f t="shared" si="4"/>
        <v>-1294.5</v>
      </c>
      <c r="J13" s="25">
        <f t="shared" si="4"/>
        <v>-1394.5</v>
      </c>
      <c r="K13" s="25">
        <f t="shared" si="4"/>
        <v>-1544.5</v>
      </c>
      <c r="L13" s="25">
        <f t="shared" si="4"/>
        <v>-2044.5</v>
      </c>
      <c r="M13" s="25">
        <f t="shared" si="4"/>
        <v>-1544.5</v>
      </c>
      <c r="N13" s="25">
        <f t="shared" si="4"/>
        <v>-1544.5</v>
      </c>
      <c r="O13" s="25">
        <f t="shared" si="4"/>
        <v>-1544.5</v>
      </c>
      <c r="P13" s="25">
        <f t="shared" si="4"/>
        <v>-1544.5</v>
      </c>
      <c r="Q13" s="25">
        <f t="shared" si="4"/>
        <v>-2265.5</v>
      </c>
      <c r="R13" s="25">
        <f t="shared" si="4"/>
        <v>-2044.5</v>
      </c>
      <c r="S13" s="25">
        <f t="shared" si="4"/>
        <v>-1544.5</v>
      </c>
      <c r="T13" s="25">
        <f t="shared" si="4"/>
        <v>-1544.5</v>
      </c>
      <c r="U13" s="25">
        <f t="shared" si="4"/>
        <v>-1544.5</v>
      </c>
      <c r="V13" s="25">
        <f t="shared" si="4"/>
        <v>-1544.5</v>
      </c>
      <c r="W13" s="25">
        <f t="shared" si="4"/>
        <v>-1544.5</v>
      </c>
      <c r="X13" s="25">
        <f t="shared" si="4"/>
        <v>-1544.5</v>
      </c>
      <c r="Y13" s="25">
        <f t="shared" si="4"/>
        <v>-1544.5</v>
      </c>
      <c r="Z13" s="25">
        <f t="shared" si="4"/>
        <v>-1544.5</v>
      </c>
      <c r="AA13" s="25">
        <f t="shared" si="4"/>
        <v>-1744.5</v>
      </c>
      <c r="AB13" s="25">
        <f t="shared" si="4"/>
        <v>-1644.5</v>
      </c>
      <c r="AC13" s="25">
        <f t="shared" si="4"/>
        <v>-1865.5</v>
      </c>
      <c r="AD13" s="25">
        <f t="shared" si="4"/>
        <v>-2044.5</v>
      </c>
      <c r="AE13" s="25">
        <f t="shared" si="4"/>
        <v>-1544.5</v>
      </c>
      <c r="AF13" s="25">
        <f t="shared" si="4"/>
        <v>-1544.5</v>
      </c>
      <c r="AG13" s="25">
        <f t="shared" si="4"/>
        <v>-1544.5</v>
      </c>
      <c r="AH13" s="25">
        <f t="shared" si="4"/>
        <v>-1544.5</v>
      </c>
      <c r="AI13" s="25">
        <f t="shared" si="4"/>
        <v>-1544.5</v>
      </c>
      <c r="AJ13" s="25">
        <f t="shared" si="4"/>
        <v>-1544.5</v>
      </c>
      <c r="AK13" s="25">
        <f t="shared" si="4"/>
        <v>-1544.5</v>
      </c>
      <c r="AL13" s="25">
        <f t="shared" si="4"/>
        <v>-1544.5</v>
      </c>
    </row>
    <row r="15">
      <c r="B15" s="10" t="s">
        <v>108</v>
      </c>
      <c r="C15" s="10"/>
      <c r="D15" s="11"/>
      <c r="E15" s="13">
        <f t="shared" ref="E15:AL15" si="5">-SUM(E16:E20)</f>
        <v>-680</v>
      </c>
      <c r="F15" s="13">
        <f t="shared" si="5"/>
        <v>-680</v>
      </c>
      <c r="G15" s="13">
        <f t="shared" si="5"/>
        <v>-680</v>
      </c>
      <c r="H15" s="13">
        <f t="shared" si="5"/>
        <v>-680</v>
      </c>
      <c r="I15" s="13">
        <f t="shared" si="5"/>
        <v>-680</v>
      </c>
      <c r="J15" s="13">
        <f t="shared" si="5"/>
        <v>-680</v>
      </c>
      <c r="K15" s="13">
        <f t="shared" si="5"/>
        <v>-680</v>
      </c>
      <c r="L15" s="13">
        <f t="shared" si="5"/>
        <v>-680</v>
      </c>
      <c r="M15" s="13">
        <f t="shared" si="5"/>
        <v>-680</v>
      </c>
      <c r="N15" s="13">
        <f t="shared" si="5"/>
        <v>-680</v>
      </c>
      <c r="O15" s="13">
        <f t="shared" si="5"/>
        <v>-680</v>
      </c>
      <c r="P15" s="13">
        <f t="shared" si="5"/>
        <v>-680</v>
      </c>
      <c r="Q15" s="13">
        <f t="shared" si="5"/>
        <v>-680</v>
      </c>
      <c r="R15" s="13">
        <f t="shared" si="5"/>
        <v>-680</v>
      </c>
      <c r="S15" s="13">
        <f t="shared" si="5"/>
        <v>-680</v>
      </c>
      <c r="T15" s="13">
        <f t="shared" si="5"/>
        <v>-680</v>
      </c>
      <c r="U15" s="13">
        <f t="shared" si="5"/>
        <v>-680</v>
      </c>
      <c r="V15" s="13">
        <f t="shared" si="5"/>
        <v>-680</v>
      </c>
      <c r="W15" s="13">
        <f t="shared" si="5"/>
        <v>-680</v>
      </c>
      <c r="X15" s="13">
        <f t="shared" si="5"/>
        <v>-680</v>
      </c>
      <c r="Y15" s="13">
        <f t="shared" si="5"/>
        <v>-680</v>
      </c>
      <c r="Z15" s="13">
        <f t="shared" si="5"/>
        <v>-680</v>
      </c>
      <c r="AA15" s="13">
        <f t="shared" si="5"/>
        <v>-680</v>
      </c>
      <c r="AB15" s="13">
        <f t="shared" si="5"/>
        <v>-680</v>
      </c>
      <c r="AC15" s="13">
        <f t="shared" si="5"/>
        <v>-680</v>
      </c>
      <c r="AD15" s="13">
        <f t="shared" si="5"/>
        <v>-680</v>
      </c>
      <c r="AE15" s="13">
        <f t="shared" si="5"/>
        <v>-680</v>
      </c>
      <c r="AF15" s="13">
        <f t="shared" si="5"/>
        <v>-680</v>
      </c>
      <c r="AG15" s="13">
        <f t="shared" si="5"/>
        <v>-680</v>
      </c>
      <c r="AH15" s="13">
        <f t="shared" si="5"/>
        <v>-680</v>
      </c>
      <c r="AI15" s="13">
        <f t="shared" si="5"/>
        <v>-680</v>
      </c>
      <c r="AJ15" s="13">
        <f t="shared" si="5"/>
        <v>-680</v>
      </c>
      <c r="AK15" s="13">
        <f t="shared" si="5"/>
        <v>-680</v>
      </c>
      <c r="AL15" s="13">
        <f t="shared" si="5"/>
        <v>-680</v>
      </c>
    </row>
    <row r="16">
      <c r="B16" s="15"/>
      <c r="C16" s="15" t="s">
        <v>109</v>
      </c>
      <c r="E16" s="57">
        <v>100.0</v>
      </c>
      <c r="F16" s="57">
        <v>100.0</v>
      </c>
      <c r="G16" s="57">
        <v>100.0</v>
      </c>
      <c r="H16" s="57">
        <v>100.0</v>
      </c>
      <c r="I16" s="57">
        <v>100.0</v>
      </c>
      <c r="J16" s="57">
        <v>100.0</v>
      </c>
      <c r="K16" s="57">
        <v>100.0</v>
      </c>
      <c r="L16" s="57">
        <v>100.0</v>
      </c>
      <c r="M16" s="57">
        <v>100.0</v>
      </c>
      <c r="N16" s="57">
        <v>100.0</v>
      </c>
      <c r="O16" s="57">
        <v>100.0</v>
      </c>
      <c r="P16" s="57">
        <v>100.0</v>
      </c>
      <c r="Q16" s="57">
        <v>100.0</v>
      </c>
      <c r="R16" s="57">
        <v>100.0</v>
      </c>
      <c r="S16" s="57">
        <v>100.0</v>
      </c>
      <c r="T16" s="57">
        <v>100.0</v>
      </c>
      <c r="U16" s="57">
        <v>100.0</v>
      </c>
      <c r="V16" s="57">
        <v>100.0</v>
      </c>
      <c r="W16" s="57">
        <v>100.0</v>
      </c>
      <c r="X16" s="57">
        <v>100.0</v>
      </c>
      <c r="Y16" s="57">
        <v>100.0</v>
      </c>
      <c r="Z16" s="57">
        <v>100.0</v>
      </c>
      <c r="AA16" s="57">
        <v>100.0</v>
      </c>
      <c r="AB16" s="57">
        <v>100.0</v>
      </c>
      <c r="AC16" s="57">
        <v>100.0</v>
      </c>
      <c r="AD16" s="57">
        <v>100.0</v>
      </c>
      <c r="AE16" s="57">
        <v>100.0</v>
      </c>
      <c r="AF16" s="57">
        <v>100.0</v>
      </c>
      <c r="AG16" s="57">
        <v>100.0</v>
      </c>
      <c r="AH16" s="57">
        <v>100.0</v>
      </c>
      <c r="AI16" s="57">
        <v>100.0</v>
      </c>
      <c r="AJ16" s="57">
        <v>100.0</v>
      </c>
      <c r="AK16" s="57">
        <v>100.0</v>
      </c>
      <c r="AL16" s="57">
        <v>100.0</v>
      </c>
    </row>
    <row r="17">
      <c r="B17" s="15"/>
      <c r="C17" s="15" t="s">
        <v>110</v>
      </c>
      <c r="E17" s="57">
        <v>60.0</v>
      </c>
      <c r="F17" s="57">
        <v>60.0</v>
      </c>
      <c r="G17" s="57">
        <v>60.0</v>
      </c>
      <c r="H17" s="57">
        <v>60.0</v>
      </c>
      <c r="I17" s="57">
        <v>60.0</v>
      </c>
      <c r="J17" s="57">
        <v>60.0</v>
      </c>
      <c r="K17" s="57">
        <v>60.0</v>
      </c>
      <c r="L17" s="57">
        <v>60.0</v>
      </c>
      <c r="M17" s="57">
        <v>60.0</v>
      </c>
      <c r="N17" s="57">
        <v>60.0</v>
      </c>
      <c r="O17" s="57">
        <v>60.0</v>
      </c>
      <c r="P17" s="57">
        <v>60.0</v>
      </c>
      <c r="Q17" s="57">
        <v>60.0</v>
      </c>
      <c r="R17" s="57">
        <v>60.0</v>
      </c>
      <c r="S17" s="57">
        <v>60.0</v>
      </c>
      <c r="T17" s="57">
        <v>60.0</v>
      </c>
      <c r="U17" s="57">
        <v>60.0</v>
      </c>
      <c r="V17" s="57">
        <v>60.0</v>
      </c>
      <c r="W17" s="57">
        <v>60.0</v>
      </c>
      <c r="X17" s="57">
        <v>60.0</v>
      </c>
      <c r="Y17" s="57">
        <v>60.0</v>
      </c>
      <c r="Z17" s="57">
        <v>60.0</v>
      </c>
      <c r="AA17" s="57">
        <v>60.0</v>
      </c>
      <c r="AB17" s="57">
        <v>60.0</v>
      </c>
      <c r="AC17" s="57">
        <v>60.0</v>
      </c>
      <c r="AD17" s="57">
        <v>60.0</v>
      </c>
      <c r="AE17" s="57">
        <v>60.0</v>
      </c>
      <c r="AF17" s="57">
        <v>60.0</v>
      </c>
      <c r="AG17" s="57">
        <v>60.0</v>
      </c>
      <c r="AH17" s="57">
        <v>60.0</v>
      </c>
      <c r="AI17" s="57">
        <v>60.0</v>
      </c>
      <c r="AJ17" s="57">
        <v>60.0</v>
      </c>
      <c r="AK17" s="57">
        <v>60.0</v>
      </c>
      <c r="AL17" s="57">
        <v>60.0</v>
      </c>
    </row>
    <row r="18">
      <c r="B18" s="15"/>
      <c r="C18" s="15" t="s">
        <v>111</v>
      </c>
      <c r="E18" s="57">
        <v>20.0</v>
      </c>
      <c r="F18" s="57">
        <v>20.0</v>
      </c>
      <c r="G18" s="57">
        <v>20.0</v>
      </c>
      <c r="H18" s="57">
        <v>20.0</v>
      </c>
      <c r="I18" s="57">
        <v>20.0</v>
      </c>
      <c r="J18" s="57">
        <v>20.0</v>
      </c>
      <c r="K18" s="57">
        <v>20.0</v>
      </c>
      <c r="L18" s="57">
        <v>20.0</v>
      </c>
      <c r="M18" s="57">
        <v>20.0</v>
      </c>
      <c r="N18" s="57">
        <v>20.0</v>
      </c>
      <c r="O18" s="57">
        <v>20.0</v>
      </c>
      <c r="P18" s="57">
        <v>20.0</v>
      </c>
      <c r="Q18" s="57">
        <v>20.0</v>
      </c>
      <c r="R18" s="57">
        <v>20.0</v>
      </c>
      <c r="S18" s="57">
        <v>20.0</v>
      </c>
      <c r="T18" s="57">
        <v>20.0</v>
      </c>
      <c r="U18" s="57">
        <v>20.0</v>
      </c>
      <c r="V18" s="57">
        <v>20.0</v>
      </c>
      <c r="W18" s="57">
        <v>20.0</v>
      </c>
      <c r="X18" s="57">
        <v>20.0</v>
      </c>
      <c r="Y18" s="57">
        <v>20.0</v>
      </c>
      <c r="Z18" s="57">
        <v>20.0</v>
      </c>
      <c r="AA18" s="57">
        <v>20.0</v>
      </c>
      <c r="AB18" s="57">
        <v>20.0</v>
      </c>
      <c r="AC18" s="57">
        <v>20.0</v>
      </c>
      <c r="AD18" s="57">
        <v>20.0</v>
      </c>
      <c r="AE18" s="57">
        <v>20.0</v>
      </c>
      <c r="AF18" s="57">
        <v>20.0</v>
      </c>
      <c r="AG18" s="57">
        <v>20.0</v>
      </c>
      <c r="AH18" s="57">
        <v>20.0</v>
      </c>
      <c r="AI18" s="57">
        <v>20.0</v>
      </c>
      <c r="AJ18" s="57">
        <v>20.0</v>
      </c>
      <c r="AK18" s="57">
        <v>20.0</v>
      </c>
      <c r="AL18" s="57">
        <v>20.0</v>
      </c>
    </row>
    <row r="19">
      <c r="B19" s="15"/>
      <c r="C19" s="15" t="s">
        <v>112</v>
      </c>
      <c r="E19" s="57">
        <v>500.0</v>
      </c>
      <c r="F19" s="57">
        <v>500.0</v>
      </c>
      <c r="G19" s="57">
        <v>500.0</v>
      </c>
      <c r="H19" s="57">
        <v>500.0</v>
      </c>
      <c r="I19" s="57">
        <v>500.0</v>
      </c>
      <c r="J19" s="57">
        <v>500.0</v>
      </c>
      <c r="K19" s="57">
        <v>500.0</v>
      </c>
      <c r="L19" s="57">
        <v>500.0</v>
      </c>
      <c r="M19" s="57">
        <v>500.0</v>
      </c>
      <c r="N19" s="57">
        <v>500.0</v>
      </c>
      <c r="O19" s="57">
        <v>500.0</v>
      </c>
      <c r="P19" s="57">
        <v>500.0</v>
      </c>
      <c r="Q19" s="57">
        <v>500.0</v>
      </c>
      <c r="R19" s="57">
        <v>500.0</v>
      </c>
      <c r="S19" s="57">
        <v>500.0</v>
      </c>
      <c r="T19" s="57">
        <v>500.0</v>
      </c>
      <c r="U19" s="57">
        <v>500.0</v>
      </c>
      <c r="V19" s="57">
        <v>500.0</v>
      </c>
      <c r="W19" s="57">
        <v>500.0</v>
      </c>
      <c r="X19" s="57">
        <v>500.0</v>
      </c>
      <c r="Y19" s="57">
        <v>500.0</v>
      </c>
      <c r="Z19" s="57">
        <v>500.0</v>
      </c>
      <c r="AA19" s="57">
        <v>500.0</v>
      </c>
      <c r="AB19" s="57">
        <v>500.0</v>
      </c>
      <c r="AC19" s="57">
        <v>500.0</v>
      </c>
      <c r="AD19" s="57">
        <v>500.0</v>
      </c>
      <c r="AE19" s="57">
        <v>500.0</v>
      </c>
      <c r="AF19" s="57">
        <v>500.0</v>
      </c>
      <c r="AG19" s="57">
        <v>500.0</v>
      </c>
      <c r="AH19" s="57">
        <v>500.0</v>
      </c>
      <c r="AI19" s="57">
        <v>500.0</v>
      </c>
      <c r="AJ19" s="57">
        <v>500.0</v>
      </c>
      <c r="AK19" s="57">
        <v>500.0</v>
      </c>
      <c r="AL19" s="57">
        <v>500.0</v>
      </c>
    </row>
    <row r="21">
      <c r="B21" s="10" t="s">
        <v>113</v>
      </c>
      <c r="C21" s="10"/>
      <c r="D21" s="11"/>
      <c r="E21" s="13">
        <f t="shared" ref="E21:AL21" si="6">-SUM(E22:E27)</f>
        <v>-203.6</v>
      </c>
      <c r="F21" s="13">
        <f t="shared" si="6"/>
        <v>-203.6</v>
      </c>
      <c r="G21" s="13">
        <f t="shared" si="6"/>
        <v>-203.6</v>
      </c>
      <c r="H21" s="13">
        <f t="shared" si="6"/>
        <v>-203.6</v>
      </c>
      <c r="I21" s="13">
        <f t="shared" si="6"/>
        <v>-223.6</v>
      </c>
      <c r="J21" s="13">
        <f t="shared" si="6"/>
        <v>-323.6</v>
      </c>
      <c r="K21" s="13">
        <f t="shared" si="6"/>
        <v>-323.6</v>
      </c>
      <c r="L21" s="13">
        <f t="shared" si="6"/>
        <v>-323.6</v>
      </c>
      <c r="M21" s="13">
        <f t="shared" si="6"/>
        <v>-323.6</v>
      </c>
      <c r="N21" s="13">
        <f t="shared" si="6"/>
        <v>-323.6</v>
      </c>
      <c r="O21" s="13">
        <f t="shared" si="6"/>
        <v>-323.6</v>
      </c>
      <c r="P21" s="13">
        <f t="shared" si="6"/>
        <v>-323.6</v>
      </c>
      <c r="Q21" s="13">
        <f t="shared" si="6"/>
        <v>-323.6</v>
      </c>
      <c r="R21" s="13">
        <f t="shared" si="6"/>
        <v>-323.6</v>
      </c>
      <c r="S21" s="13">
        <f t="shared" si="6"/>
        <v>-323.6</v>
      </c>
      <c r="T21" s="13">
        <f t="shared" si="6"/>
        <v>-323.6</v>
      </c>
      <c r="U21" s="13">
        <f t="shared" si="6"/>
        <v>-323.6</v>
      </c>
      <c r="V21" s="13">
        <f t="shared" si="6"/>
        <v>-323.6</v>
      </c>
      <c r="W21" s="13">
        <f t="shared" si="6"/>
        <v>-323.6</v>
      </c>
      <c r="X21" s="13">
        <f t="shared" si="6"/>
        <v>-323.6</v>
      </c>
      <c r="Y21" s="13">
        <f t="shared" si="6"/>
        <v>-323.6</v>
      </c>
      <c r="Z21" s="13">
        <f t="shared" si="6"/>
        <v>-323.6</v>
      </c>
      <c r="AA21" s="13">
        <f t="shared" si="6"/>
        <v>-323.6</v>
      </c>
      <c r="AB21" s="13">
        <f t="shared" si="6"/>
        <v>-323.6</v>
      </c>
      <c r="AC21" s="13">
        <f t="shared" si="6"/>
        <v>-323.6</v>
      </c>
      <c r="AD21" s="13">
        <f t="shared" si="6"/>
        <v>-323.6</v>
      </c>
      <c r="AE21" s="13">
        <f t="shared" si="6"/>
        <v>-323.6</v>
      </c>
      <c r="AF21" s="13">
        <f t="shared" si="6"/>
        <v>-323.6</v>
      </c>
      <c r="AG21" s="13">
        <f t="shared" si="6"/>
        <v>-323.6</v>
      </c>
      <c r="AH21" s="13">
        <f t="shared" si="6"/>
        <v>-323.6</v>
      </c>
      <c r="AI21" s="13">
        <f t="shared" si="6"/>
        <v>-323.6</v>
      </c>
      <c r="AJ21" s="13">
        <f t="shared" si="6"/>
        <v>-323.6</v>
      </c>
      <c r="AK21" s="13">
        <f t="shared" si="6"/>
        <v>-323.6</v>
      </c>
      <c r="AL21" s="13">
        <f t="shared" si="6"/>
        <v>-323.6</v>
      </c>
    </row>
    <row r="22">
      <c r="B22" s="15"/>
      <c r="C22" s="15" t="s">
        <v>114</v>
      </c>
      <c r="E22" s="57">
        <v>13.6</v>
      </c>
      <c r="F22" s="57">
        <v>13.6</v>
      </c>
      <c r="G22" s="57">
        <v>13.6</v>
      </c>
      <c r="H22" s="57">
        <v>13.6</v>
      </c>
      <c r="I22" s="57">
        <v>13.6</v>
      </c>
      <c r="J22" s="57">
        <v>13.6</v>
      </c>
      <c r="K22" s="57">
        <v>13.6</v>
      </c>
      <c r="L22" s="57">
        <v>13.6</v>
      </c>
      <c r="M22" s="57">
        <v>13.6</v>
      </c>
      <c r="N22" s="57">
        <v>13.6</v>
      </c>
      <c r="O22" s="57">
        <v>13.6</v>
      </c>
      <c r="P22" s="57">
        <v>13.6</v>
      </c>
      <c r="Q22" s="57">
        <v>13.6</v>
      </c>
      <c r="R22" s="57">
        <v>13.6</v>
      </c>
      <c r="S22" s="57">
        <v>13.6</v>
      </c>
      <c r="T22" s="57">
        <v>13.6</v>
      </c>
      <c r="U22" s="57">
        <v>13.6</v>
      </c>
      <c r="V22" s="57">
        <v>13.6</v>
      </c>
      <c r="W22" s="57">
        <v>13.6</v>
      </c>
      <c r="X22" s="57">
        <v>13.6</v>
      </c>
      <c r="Y22" s="57">
        <v>13.6</v>
      </c>
      <c r="Z22" s="57">
        <v>13.6</v>
      </c>
      <c r="AA22" s="57">
        <v>13.6</v>
      </c>
      <c r="AB22" s="57">
        <v>13.6</v>
      </c>
      <c r="AC22" s="57">
        <v>13.6</v>
      </c>
      <c r="AD22" s="57">
        <v>13.6</v>
      </c>
      <c r="AE22" s="57">
        <v>13.6</v>
      </c>
      <c r="AF22" s="57">
        <v>13.6</v>
      </c>
      <c r="AG22" s="57">
        <v>13.6</v>
      </c>
      <c r="AH22" s="57">
        <v>13.6</v>
      </c>
      <c r="AI22" s="57">
        <v>13.6</v>
      </c>
      <c r="AJ22" s="57">
        <v>13.6</v>
      </c>
      <c r="AK22" s="57">
        <v>13.6</v>
      </c>
      <c r="AL22" s="57">
        <v>13.6</v>
      </c>
    </row>
    <row r="23">
      <c r="B23" s="15"/>
      <c r="C23" s="15" t="s">
        <v>115</v>
      </c>
      <c r="E23" s="57">
        <v>50.0</v>
      </c>
      <c r="F23" s="57">
        <v>50.0</v>
      </c>
      <c r="G23" s="57">
        <v>50.0</v>
      </c>
      <c r="H23" s="57">
        <v>50.0</v>
      </c>
      <c r="I23" s="57">
        <v>50.0</v>
      </c>
      <c r="J23" s="57">
        <v>50.0</v>
      </c>
      <c r="K23" s="57">
        <v>50.0</v>
      </c>
      <c r="L23" s="57">
        <v>50.0</v>
      </c>
      <c r="M23" s="57">
        <v>50.0</v>
      </c>
      <c r="N23" s="57">
        <v>50.0</v>
      </c>
      <c r="O23" s="57">
        <v>50.0</v>
      </c>
      <c r="P23" s="57">
        <v>50.0</v>
      </c>
      <c r="Q23" s="57">
        <v>50.0</v>
      </c>
      <c r="R23" s="57">
        <v>50.0</v>
      </c>
      <c r="S23" s="57">
        <v>50.0</v>
      </c>
      <c r="T23" s="57">
        <v>50.0</v>
      </c>
      <c r="U23" s="57">
        <v>50.0</v>
      </c>
      <c r="V23" s="57">
        <v>50.0</v>
      </c>
      <c r="W23" s="57">
        <v>50.0</v>
      </c>
      <c r="X23" s="57">
        <v>50.0</v>
      </c>
      <c r="Y23" s="57">
        <v>50.0</v>
      </c>
      <c r="Z23" s="57">
        <v>50.0</v>
      </c>
      <c r="AA23" s="57">
        <v>50.0</v>
      </c>
      <c r="AB23" s="57">
        <v>50.0</v>
      </c>
      <c r="AC23" s="57">
        <v>50.0</v>
      </c>
      <c r="AD23" s="57">
        <v>50.0</v>
      </c>
      <c r="AE23" s="57">
        <v>50.0</v>
      </c>
      <c r="AF23" s="57">
        <v>50.0</v>
      </c>
      <c r="AG23" s="57">
        <v>50.0</v>
      </c>
      <c r="AH23" s="57">
        <v>50.0</v>
      </c>
      <c r="AI23" s="57">
        <v>50.0</v>
      </c>
      <c r="AJ23" s="57">
        <v>50.0</v>
      </c>
      <c r="AK23" s="57">
        <v>50.0</v>
      </c>
      <c r="AL23" s="57">
        <v>50.0</v>
      </c>
    </row>
    <row r="24">
      <c r="B24" s="15"/>
      <c r="C24" s="15" t="s">
        <v>116</v>
      </c>
      <c r="E24" s="57">
        <v>100.0</v>
      </c>
      <c r="F24" s="57">
        <v>100.0</v>
      </c>
      <c r="G24" s="57">
        <v>100.0</v>
      </c>
      <c r="H24" s="57">
        <v>100.0</v>
      </c>
      <c r="I24" s="57">
        <v>100.0</v>
      </c>
      <c r="J24" s="57">
        <v>200.0</v>
      </c>
      <c r="K24" s="57">
        <v>200.0</v>
      </c>
      <c r="L24" s="57">
        <v>200.0</v>
      </c>
      <c r="M24" s="57">
        <v>200.0</v>
      </c>
      <c r="N24" s="57">
        <v>200.0</v>
      </c>
      <c r="O24" s="57">
        <v>200.0</v>
      </c>
      <c r="P24" s="57">
        <v>200.0</v>
      </c>
      <c r="Q24" s="57">
        <v>200.0</v>
      </c>
      <c r="R24" s="57">
        <v>200.0</v>
      </c>
      <c r="S24" s="57">
        <v>200.0</v>
      </c>
      <c r="T24" s="57">
        <v>200.0</v>
      </c>
      <c r="U24" s="57">
        <v>200.0</v>
      </c>
      <c r="V24" s="57">
        <v>200.0</v>
      </c>
      <c r="W24" s="57">
        <v>200.0</v>
      </c>
      <c r="X24" s="57">
        <v>200.0</v>
      </c>
      <c r="Y24" s="57">
        <v>200.0</v>
      </c>
      <c r="Z24" s="57">
        <v>200.0</v>
      </c>
      <c r="AA24" s="57">
        <v>200.0</v>
      </c>
      <c r="AB24" s="57">
        <v>200.0</v>
      </c>
      <c r="AC24" s="57">
        <v>200.0</v>
      </c>
      <c r="AD24" s="57">
        <v>200.0</v>
      </c>
      <c r="AE24" s="57">
        <v>200.0</v>
      </c>
      <c r="AF24" s="57">
        <v>200.0</v>
      </c>
      <c r="AG24" s="57">
        <v>200.0</v>
      </c>
      <c r="AH24" s="57">
        <v>200.0</v>
      </c>
      <c r="AI24" s="57">
        <v>200.0</v>
      </c>
      <c r="AJ24" s="57">
        <v>200.0</v>
      </c>
      <c r="AK24" s="57">
        <v>200.0</v>
      </c>
      <c r="AL24" s="57">
        <v>200.0</v>
      </c>
    </row>
    <row r="25">
      <c r="B25" s="15"/>
      <c r="C25" s="15" t="s">
        <v>117</v>
      </c>
      <c r="E25" s="57">
        <v>0.0</v>
      </c>
      <c r="F25" s="57">
        <v>0.0</v>
      </c>
      <c r="G25" s="57">
        <v>0.0</v>
      </c>
      <c r="H25" s="57">
        <v>0.0</v>
      </c>
      <c r="I25" s="57">
        <v>20.0</v>
      </c>
      <c r="J25" s="57">
        <v>20.0</v>
      </c>
      <c r="K25" s="57">
        <v>20.0</v>
      </c>
      <c r="L25" s="57">
        <v>20.0</v>
      </c>
      <c r="M25" s="57">
        <v>20.0</v>
      </c>
      <c r="N25" s="57">
        <v>20.0</v>
      </c>
      <c r="O25" s="57">
        <v>20.0</v>
      </c>
      <c r="P25" s="57">
        <v>20.0</v>
      </c>
      <c r="Q25" s="57">
        <v>20.0</v>
      </c>
      <c r="R25" s="57">
        <v>20.0</v>
      </c>
      <c r="S25" s="57">
        <v>20.0</v>
      </c>
      <c r="T25" s="57">
        <v>20.0</v>
      </c>
      <c r="U25" s="57">
        <v>20.0</v>
      </c>
      <c r="V25" s="57">
        <v>20.0</v>
      </c>
      <c r="W25" s="57">
        <v>20.0</v>
      </c>
      <c r="X25" s="57">
        <v>20.0</v>
      </c>
      <c r="Y25" s="57">
        <v>20.0</v>
      </c>
      <c r="Z25" s="57">
        <v>20.0</v>
      </c>
      <c r="AA25" s="57">
        <v>20.0</v>
      </c>
      <c r="AB25" s="57">
        <v>20.0</v>
      </c>
      <c r="AC25" s="57">
        <v>20.0</v>
      </c>
      <c r="AD25" s="57">
        <v>20.0</v>
      </c>
      <c r="AE25" s="57">
        <v>20.0</v>
      </c>
      <c r="AF25" s="57">
        <v>20.0</v>
      </c>
      <c r="AG25" s="57">
        <v>20.0</v>
      </c>
      <c r="AH25" s="57">
        <v>20.0</v>
      </c>
      <c r="AI25" s="57">
        <v>20.0</v>
      </c>
      <c r="AJ25" s="57">
        <v>20.0</v>
      </c>
      <c r="AK25" s="57">
        <v>20.0</v>
      </c>
      <c r="AL25" s="57">
        <v>20.0</v>
      </c>
    </row>
    <row r="26">
      <c r="B26" s="15"/>
      <c r="C26" s="15" t="s">
        <v>118</v>
      </c>
      <c r="E26" s="57">
        <v>20.0</v>
      </c>
      <c r="F26" s="57">
        <v>20.0</v>
      </c>
      <c r="G26" s="57">
        <v>20.0</v>
      </c>
      <c r="H26" s="57">
        <v>20.0</v>
      </c>
      <c r="I26" s="57">
        <v>20.0</v>
      </c>
      <c r="J26" s="57">
        <v>20.0</v>
      </c>
      <c r="K26" s="57">
        <v>20.0</v>
      </c>
      <c r="L26" s="57">
        <v>20.0</v>
      </c>
      <c r="M26" s="57">
        <v>20.0</v>
      </c>
      <c r="N26" s="57">
        <v>20.0</v>
      </c>
      <c r="O26" s="57">
        <v>20.0</v>
      </c>
      <c r="P26" s="57">
        <v>20.0</v>
      </c>
      <c r="Q26" s="57">
        <v>20.0</v>
      </c>
      <c r="R26" s="57">
        <v>20.0</v>
      </c>
      <c r="S26" s="57">
        <v>20.0</v>
      </c>
      <c r="T26" s="57">
        <v>20.0</v>
      </c>
      <c r="U26" s="57">
        <v>20.0</v>
      </c>
      <c r="V26" s="57">
        <v>20.0</v>
      </c>
      <c r="W26" s="57">
        <v>20.0</v>
      </c>
      <c r="X26" s="57">
        <v>20.0</v>
      </c>
      <c r="Y26" s="57">
        <v>20.0</v>
      </c>
      <c r="Z26" s="57">
        <v>20.0</v>
      </c>
      <c r="AA26" s="57">
        <v>20.0</v>
      </c>
      <c r="AB26" s="57">
        <v>20.0</v>
      </c>
      <c r="AC26" s="57">
        <v>20.0</v>
      </c>
      <c r="AD26" s="57">
        <v>20.0</v>
      </c>
      <c r="AE26" s="57">
        <v>20.0</v>
      </c>
      <c r="AF26" s="57">
        <v>20.0</v>
      </c>
      <c r="AG26" s="57">
        <v>20.0</v>
      </c>
      <c r="AH26" s="57">
        <v>20.0</v>
      </c>
      <c r="AI26" s="57">
        <v>20.0</v>
      </c>
      <c r="AJ26" s="57">
        <v>20.0</v>
      </c>
      <c r="AK26" s="57">
        <v>20.0</v>
      </c>
      <c r="AL26" s="57">
        <v>20.0</v>
      </c>
    </row>
    <row r="27">
      <c r="C27" s="15" t="s">
        <v>119</v>
      </c>
      <c r="E27" s="57">
        <v>20.0</v>
      </c>
      <c r="F27" s="57">
        <v>20.0</v>
      </c>
      <c r="G27" s="57">
        <v>20.0</v>
      </c>
      <c r="H27" s="57">
        <v>20.0</v>
      </c>
      <c r="I27" s="57">
        <v>20.0</v>
      </c>
      <c r="J27" s="57">
        <v>20.0</v>
      </c>
      <c r="K27" s="57">
        <v>20.0</v>
      </c>
      <c r="L27" s="57">
        <v>20.0</v>
      </c>
      <c r="M27" s="57">
        <v>20.0</v>
      </c>
      <c r="N27" s="57">
        <v>20.0</v>
      </c>
      <c r="O27" s="57">
        <v>20.0</v>
      </c>
      <c r="P27" s="57">
        <v>20.0</v>
      </c>
      <c r="Q27" s="57">
        <v>20.0</v>
      </c>
      <c r="R27" s="57">
        <v>20.0</v>
      </c>
      <c r="S27" s="57">
        <v>20.0</v>
      </c>
      <c r="T27" s="57">
        <v>20.0</v>
      </c>
      <c r="U27" s="57">
        <v>20.0</v>
      </c>
      <c r="V27" s="57">
        <v>20.0</v>
      </c>
      <c r="W27" s="57">
        <v>20.0</v>
      </c>
      <c r="X27" s="57">
        <v>20.0</v>
      </c>
      <c r="Y27" s="57">
        <v>20.0</v>
      </c>
      <c r="Z27" s="57">
        <v>20.0</v>
      </c>
      <c r="AA27" s="57">
        <v>20.0</v>
      </c>
      <c r="AB27" s="57">
        <v>20.0</v>
      </c>
      <c r="AC27" s="57">
        <v>20.0</v>
      </c>
      <c r="AD27" s="57">
        <v>20.0</v>
      </c>
      <c r="AE27" s="57">
        <v>20.0</v>
      </c>
      <c r="AF27" s="57">
        <v>20.0</v>
      </c>
      <c r="AG27" s="57">
        <v>20.0</v>
      </c>
      <c r="AH27" s="57">
        <v>20.0</v>
      </c>
      <c r="AI27" s="57">
        <v>20.0</v>
      </c>
      <c r="AJ27" s="57">
        <v>20.0</v>
      </c>
      <c r="AK27" s="57">
        <v>20.0</v>
      </c>
      <c r="AL27" s="57">
        <v>20.0</v>
      </c>
    </row>
    <row r="28">
      <c r="E28" s="16"/>
      <c r="F28" s="16"/>
      <c r="G28" s="16"/>
      <c r="H28" s="43" t="s">
        <v>120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>
      <c r="B29" s="10" t="s">
        <v>121</v>
      </c>
      <c r="C29" s="10"/>
      <c r="D29" s="11"/>
      <c r="E29" s="13">
        <f t="shared" ref="E29:AL29" si="7">-SUM(E30:E37)</f>
        <v>-81.9</v>
      </c>
      <c r="F29" s="13">
        <f t="shared" si="7"/>
        <v>-81.9</v>
      </c>
      <c r="G29" s="13">
        <f t="shared" si="7"/>
        <v>-81.9</v>
      </c>
      <c r="H29" s="13">
        <f t="shared" si="7"/>
        <v>-81.9</v>
      </c>
      <c r="I29" s="13">
        <f t="shared" si="7"/>
        <v>-81.9</v>
      </c>
      <c r="J29" s="13">
        <f t="shared" si="7"/>
        <v>-81.9</v>
      </c>
      <c r="K29" s="13">
        <f t="shared" si="7"/>
        <v>-231.9</v>
      </c>
      <c r="L29" s="13">
        <f t="shared" si="7"/>
        <v>-231.9</v>
      </c>
      <c r="M29" s="13">
        <f t="shared" si="7"/>
        <v>-231.9</v>
      </c>
      <c r="N29" s="13">
        <f t="shared" si="7"/>
        <v>-231.9</v>
      </c>
      <c r="O29" s="13">
        <f t="shared" si="7"/>
        <v>-231.9</v>
      </c>
      <c r="P29" s="13">
        <f t="shared" si="7"/>
        <v>-231.9</v>
      </c>
      <c r="Q29" s="13">
        <f t="shared" si="7"/>
        <v>-952.9</v>
      </c>
      <c r="R29" s="13">
        <f t="shared" si="7"/>
        <v>-731.9</v>
      </c>
      <c r="S29" s="13">
        <f t="shared" si="7"/>
        <v>-231.9</v>
      </c>
      <c r="T29" s="13">
        <f t="shared" si="7"/>
        <v>-231.9</v>
      </c>
      <c r="U29" s="13">
        <f t="shared" si="7"/>
        <v>-231.9</v>
      </c>
      <c r="V29" s="13">
        <f t="shared" si="7"/>
        <v>-231.9</v>
      </c>
      <c r="W29" s="13">
        <f t="shared" si="7"/>
        <v>-231.9</v>
      </c>
      <c r="X29" s="13">
        <f t="shared" si="7"/>
        <v>-231.9</v>
      </c>
      <c r="Y29" s="13">
        <f t="shared" si="7"/>
        <v>-231.9</v>
      </c>
      <c r="Z29" s="13">
        <f t="shared" si="7"/>
        <v>-231.9</v>
      </c>
      <c r="AA29" s="13">
        <f t="shared" si="7"/>
        <v>-431.9</v>
      </c>
      <c r="AB29" s="13">
        <f t="shared" si="7"/>
        <v>-331.9</v>
      </c>
      <c r="AC29" s="13">
        <f t="shared" si="7"/>
        <v>-552.9</v>
      </c>
      <c r="AD29" s="13">
        <f t="shared" si="7"/>
        <v>-731.9</v>
      </c>
      <c r="AE29" s="13">
        <f t="shared" si="7"/>
        <v>-231.9</v>
      </c>
      <c r="AF29" s="13">
        <f t="shared" si="7"/>
        <v>-231.9</v>
      </c>
      <c r="AG29" s="13">
        <f t="shared" si="7"/>
        <v>-231.9</v>
      </c>
      <c r="AH29" s="13">
        <f t="shared" si="7"/>
        <v>-231.9</v>
      </c>
      <c r="AI29" s="13">
        <f t="shared" si="7"/>
        <v>-231.9</v>
      </c>
      <c r="AJ29" s="13">
        <f t="shared" si="7"/>
        <v>-231.9</v>
      </c>
      <c r="AK29" s="13">
        <f t="shared" si="7"/>
        <v>-231.9</v>
      </c>
      <c r="AL29" s="13">
        <f t="shared" si="7"/>
        <v>-231.9</v>
      </c>
    </row>
    <row r="30">
      <c r="B30" s="15"/>
      <c r="C30" s="15" t="s">
        <v>122</v>
      </c>
      <c r="E30" s="57">
        <v>10.0</v>
      </c>
      <c r="F30" s="57">
        <v>10.0</v>
      </c>
      <c r="G30" s="57">
        <v>10.0</v>
      </c>
      <c r="H30" s="57">
        <v>10.0</v>
      </c>
      <c r="I30" s="57">
        <v>10.0</v>
      </c>
      <c r="J30" s="57">
        <v>10.0</v>
      </c>
      <c r="K30" s="57">
        <v>10.0</v>
      </c>
      <c r="L30" s="57">
        <v>10.0</v>
      </c>
      <c r="M30" s="57">
        <v>10.0</v>
      </c>
      <c r="N30" s="57">
        <v>10.0</v>
      </c>
      <c r="O30" s="57">
        <v>10.0</v>
      </c>
      <c r="P30" s="57">
        <v>10.0</v>
      </c>
      <c r="Q30" s="57">
        <v>10.0</v>
      </c>
      <c r="R30" s="57">
        <v>10.0</v>
      </c>
      <c r="S30" s="57">
        <v>10.0</v>
      </c>
      <c r="T30" s="57">
        <v>10.0</v>
      </c>
      <c r="U30" s="57">
        <v>10.0</v>
      </c>
      <c r="V30" s="57">
        <v>10.0</v>
      </c>
      <c r="W30" s="57">
        <v>10.0</v>
      </c>
      <c r="X30" s="57">
        <v>10.0</v>
      </c>
      <c r="Y30" s="57">
        <v>10.0</v>
      </c>
      <c r="Z30" s="57">
        <v>10.0</v>
      </c>
      <c r="AA30" s="57">
        <v>10.0</v>
      </c>
      <c r="AB30" s="57">
        <v>10.0</v>
      </c>
      <c r="AC30" s="57">
        <v>10.0</v>
      </c>
      <c r="AD30" s="57">
        <v>10.0</v>
      </c>
      <c r="AE30" s="57">
        <v>10.0</v>
      </c>
      <c r="AF30" s="57">
        <v>10.0</v>
      </c>
      <c r="AG30" s="57">
        <v>10.0</v>
      </c>
      <c r="AH30" s="57">
        <v>10.0</v>
      </c>
      <c r="AI30" s="57">
        <v>10.0</v>
      </c>
      <c r="AJ30" s="57">
        <v>10.0</v>
      </c>
      <c r="AK30" s="57">
        <v>10.0</v>
      </c>
      <c r="AL30" s="57">
        <v>10.0</v>
      </c>
    </row>
    <row r="31">
      <c r="B31" s="15"/>
      <c r="C31" s="15" t="s">
        <v>123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7">
        <v>500.0</v>
      </c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7">
        <v>500.0</v>
      </c>
      <c r="AE31" s="58"/>
      <c r="AF31" s="58"/>
      <c r="AG31" s="58"/>
      <c r="AH31" s="58"/>
      <c r="AI31" s="58"/>
      <c r="AJ31" s="58"/>
      <c r="AK31" s="58"/>
      <c r="AL31" s="58"/>
    </row>
    <row r="32">
      <c r="B32" s="15"/>
      <c r="C32" s="15" t="s">
        <v>124</v>
      </c>
      <c r="E32" s="57"/>
      <c r="F32" s="58"/>
      <c r="G32" s="58"/>
      <c r="H32" s="58"/>
      <c r="I32" s="58"/>
      <c r="J32" s="58"/>
      <c r="K32" s="58"/>
      <c r="L32" s="58"/>
      <c r="M32" s="58"/>
      <c r="N32" s="58"/>
      <c r="O32" s="57"/>
      <c r="P32" s="58"/>
      <c r="Q32" s="57">
        <v>200.0</v>
      </c>
      <c r="R32" s="58"/>
      <c r="S32" s="58"/>
      <c r="T32" s="58"/>
      <c r="U32" s="58"/>
      <c r="V32" s="58"/>
      <c r="W32" s="58"/>
      <c r="X32" s="58"/>
      <c r="Y32" s="58"/>
      <c r="Z32" s="58"/>
      <c r="AA32" s="57">
        <v>200.0</v>
      </c>
      <c r="AB32" s="58"/>
      <c r="AC32" s="57"/>
      <c r="AD32" s="58"/>
      <c r="AE32" s="58"/>
      <c r="AF32" s="58"/>
      <c r="AG32" s="58"/>
      <c r="AH32" s="58"/>
      <c r="AI32" s="58"/>
      <c r="AJ32" s="58"/>
      <c r="AK32" s="58"/>
      <c r="AL32" s="58"/>
    </row>
    <row r="33">
      <c r="B33" s="15"/>
      <c r="C33" s="15" t="s">
        <v>125</v>
      </c>
      <c r="E33" s="57">
        <v>21.9</v>
      </c>
      <c r="F33" s="57">
        <v>21.9</v>
      </c>
      <c r="G33" s="57">
        <v>21.9</v>
      </c>
      <c r="H33" s="57">
        <v>21.9</v>
      </c>
      <c r="I33" s="57">
        <v>21.9</v>
      </c>
      <c r="J33" s="57">
        <v>21.9</v>
      </c>
      <c r="K33" s="57">
        <v>21.9</v>
      </c>
      <c r="L33" s="57">
        <v>21.9</v>
      </c>
      <c r="M33" s="57">
        <v>21.9</v>
      </c>
      <c r="N33" s="57">
        <v>21.9</v>
      </c>
      <c r="O33" s="57">
        <v>21.9</v>
      </c>
      <c r="P33" s="57">
        <v>21.9</v>
      </c>
      <c r="Q33" s="57">
        <v>21.9</v>
      </c>
      <c r="R33" s="57">
        <v>21.9</v>
      </c>
      <c r="S33" s="57">
        <v>21.9</v>
      </c>
      <c r="T33" s="57">
        <v>21.9</v>
      </c>
      <c r="U33" s="57">
        <v>21.9</v>
      </c>
      <c r="V33" s="57">
        <v>21.9</v>
      </c>
      <c r="W33" s="57">
        <v>21.9</v>
      </c>
      <c r="X33" s="57">
        <v>21.9</v>
      </c>
      <c r="Y33" s="57">
        <v>21.9</v>
      </c>
      <c r="Z33" s="57">
        <v>21.9</v>
      </c>
      <c r="AA33" s="57">
        <v>21.9</v>
      </c>
      <c r="AB33" s="57">
        <v>21.9</v>
      </c>
      <c r="AC33" s="57">
        <v>21.9</v>
      </c>
      <c r="AD33" s="57">
        <v>21.9</v>
      </c>
      <c r="AE33" s="57">
        <v>21.9</v>
      </c>
      <c r="AF33" s="57">
        <v>21.9</v>
      </c>
      <c r="AG33" s="57">
        <v>21.9</v>
      </c>
      <c r="AH33" s="57">
        <v>21.9</v>
      </c>
      <c r="AI33" s="57">
        <v>21.9</v>
      </c>
      <c r="AJ33" s="57">
        <v>21.9</v>
      </c>
      <c r="AK33" s="57">
        <v>21.9</v>
      </c>
      <c r="AL33" s="57">
        <v>21.9</v>
      </c>
    </row>
    <row r="34">
      <c r="B34" s="15"/>
      <c r="C34" s="15" t="s">
        <v>126</v>
      </c>
      <c r="E34" s="58"/>
      <c r="F34" s="58"/>
      <c r="G34" s="57">
        <v>0.0</v>
      </c>
      <c r="H34" s="58"/>
      <c r="I34" s="58"/>
      <c r="J34" s="58"/>
      <c r="K34" s="58"/>
      <c r="L34" s="58"/>
      <c r="M34" s="58"/>
      <c r="N34" s="58"/>
      <c r="O34" s="58"/>
      <c r="P34" s="57">
        <v>0.0</v>
      </c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7">
        <v>100.0</v>
      </c>
      <c r="AC34" s="58"/>
      <c r="AD34" s="58"/>
      <c r="AE34" s="58"/>
      <c r="AF34" s="58"/>
      <c r="AG34" s="58"/>
      <c r="AH34" s="58"/>
      <c r="AI34" s="58"/>
      <c r="AJ34" s="58"/>
      <c r="AK34" s="58"/>
      <c r="AL34" s="58"/>
    </row>
    <row r="35">
      <c r="B35" s="15"/>
      <c r="C35" s="15" t="s">
        <v>127</v>
      </c>
      <c r="E35" s="57"/>
      <c r="F35" s="58"/>
      <c r="G35" s="58"/>
      <c r="H35" s="58"/>
      <c r="I35" s="58"/>
      <c r="J35" s="58"/>
      <c r="K35" s="58"/>
      <c r="L35" s="58"/>
      <c r="M35" s="58"/>
      <c r="N35" s="58"/>
      <c r="O35" s="57"/>
      <c r="P35" s="58"/>
      <c r="Q35" s="57">
        <v>321.0</v>
      </c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7">
        <v>321.0</v>
      </c>
      <c r="AD35" s="58"/>
      <c r="AE35" s="58"/>
      <c r="AF35" s="58"/>
      <c r="AG35" s="58"/>
      <c r="AH35" s="58"/>
      <c r="AI35" s="58"/>
      <c r="AJ35" s="58"/>
      <c r="AK35" s="58"/>
      <c r="AL35" s="58"/>
    </row>
    <row r="36">
      <c r="B36" s="15"/>
      <c r="C36" s="15" t="s">
        <v>128</v>
      </c>
      <c r="E36" s="57"/>
      <c r="F36" s="58"/>
      <c r="G36" s="58"/>
      <c r="H36" s="58"/>
      <c r="I36" s="58"/>
      <c r="J36" s="58"/>
      <c r="K36" s="58"/>
      <c r="L36" s="58"/>
      <c r="M36" s="58"/>
      <c r="N36" s="58"/>
      <c r="O36" s="57"/>
      <c r="P36" s="58"/>
      <c r="Q36" s="57">
        <v>200.0</v>
      </c>
      <c r="R36" s="58"/>
      <c r="S36" s="58"/>
      <c r="T36" s="58"/>
      <c r="U36" s="58"/>
      <c r="V36" s="58"/>
      <c r="W36" s="58"/>
      <c r="X36" s="58"/>
      <c r="Y36" s="58"/>
      <c r="Z36" s="58"/>
      <c r="AA36" s="57"/>
      <c r="AB36" s="58"/>
      <c r="AC36" s="57"/>
      <c r="AD36" s="58"/>
      <c r="AE36" s="58"/>
      <c r="AF36" s="58"/>
      <c r="AG36" s="58"/>
      <c r="AH36" s="58"/>
      <c r="AI36" s="58"/>
      <c r="AJ36" s="58"/>
      <c r="AK36" s="58"/>
      <c r="AL36" s="58"/>
    </row>
    <row r="37">
      <c r="B37" s="15"/>
      <c r="C37" s="15" t="s">
        <v>129</v>
      </c>
      <c r="E37" s="57">
        <v>50.0</v>
      </c>
      <c r="F37" s="57">
        <v>50.0</v>
      </c>
      <c r="G37" s="57">
        <v>50.0</v>
      </c>
      <c r="H37" s="57">
        <v>50.0</v>
      </c>
      <c r="I37" s="57">
        <v>50.0</v>
      </c>
      <c r="J37" s="57">
        <v>50.0</v>
      </c>
      <c r="K37" s="57">
        <v>200.0</v>
      </c>
      <c r="L37" s="57">
        <v>200.0</v>
      </c>
      <c r="M37" s="57">
        <v>200.0</v>
      </c>
      <c r="N37" s="57">
        <v>200.0</v>
      </c>
      <c r="O37" s="57">
        <v>200.0</v>
      </c>
      <c r="P37" s="57">
        <v>200.0</v>
      </c>
      <c r="Q37" s="57">
        <v>200.0</v>
      </c>
      <c r="R37" s="57">
        <v>200.0</v>
      </c>
      <c r="S37" s="57">
        <v>200.0</v>
      </c>
      <c r="T37" s="57">
        <v>200.0</v>
      </c>
      <c r="U37" s="57">
        <v>200.0</v>
      </c>
      <c r="V37" s="57">
        <v>200.0</v>
      </c>
      <c r="W37" s="57">
        <v>200.0</v>
      </c>
      <c r="X37" s="57">
        <v>200.0</v>
      </c>
      <c r="Y37" s="57">
        <v>200.0</v>
      </c>
      <c r="Z37" s="57">
        <v>200.0</v>
      </c>
      <c r="AA37" s="57">
        <v>200.0</v>
      </c>
      <c r="AB37" s="57">
        <v>200.0</v>
      </c>
      <c r="AC37" s="57">
        <v>200.0</v>
      </c>
      <c r="AD37" s="57">
        <v>200.0</v>
      </c>
      <c r="AE37" s="57">
        <v>200.0</v>
      </c>
      <c r="AF37" s="57">
        <v>200.0</v>
      </c>
      <c r="AG37" s="57">
        <v>200.0</v>
      </c>
      <c r="AH37" s="57">
        <v>200.0</v>
      </c>
      <c r="AI37" s="57">
        <v>200.0</v>
      </c>
      <c r="AJ37" s="57">
        <v>200.0</v>
      </c>
      <c r="AK37" s="57">
        <v>200.0</v>
      </c>
      <c r="AL37" s="57">
        <v>200.0</v>
      </c>
    </row>
    <row r="38">
      <c r="B38" s="15"/>
      <c r="C38" s="15"/>
    </row>
    <row r="39">
      <c r="B39" s="10" t="s">
        <v>130</v>
      </c>
      <c r="C39" s="10"/>
      <c r="D39" s="11"/>
      <c r="E39" s="13">
        <f t="shared" ref="E39:AL39" si="8">-SUM(E40:E46)</f>
        <v>-1671</v>
      </c>
      <c r="F39" s="13">
        <f t="shared" si="8"/>
        <v>-500</v>
      </c>
      <c r="G39" s="13">
        <f t="shared" si="8"/>
        <v>0</v>
      </c>
      <c r="H39" s="13">
        <f t="shared" si="8"/>
        <v>0</v>
      </c>
      <c r="I39" s="13">
        <f t="shared" si="8"/>
        <v>0</v>
      </c>
      <c r="J39" s="13">
        <f t="shared" si="8"/>
        <v>0</v>
      </c>
      <c r="K39" s="13">
        <f t="shared" si="8"/>
        <v>0</v>
      </c>
      <c r="L39" s="13">
        <f t="shared" si="8"/>
        <v>-500</v>
      </c>
      <c r="M39" s="13">
        <f t="shared" si="8"/>
        <v>0</v>
      </c>
      <c r="N39" s="13">
        <f t="shared" si="8"/>
        <v>0</v>
      </c>
      <c r="O39" s="13">
        <f t="shared" si="8"/>
        <v>0</v>
      </c>
      <c r="P39" s="13">
        <f t="shared" si="8"/>
        <v>0</v>
      </c>
      <c r="Q39" s="13">
        <f t="shared" si="8"/>
        <v>0</v>
      </c>
      <c r="R39" s="13">
        <f t="shared" si="8"/>
        <v>0</v>
      </c>
      <c r="S39" s="13">
        <f t="shared" si="8"/>
        <v>0</v>
      </c>
      <c r="T39" s="13">
        <f t="shared" si="8"/>
        <v>0</v>
      </c>
      <c r="U39" s="13">
        <f t="shared" si="8"/>
        <v>0</v>
      </c>
      <c r="V39" s="13">
        <f t="shared" si="8"/>
        <v>0</v>
      </c>
      <c r="W39" s="13">
        <f t="shared" si="8"/>
        <v>0</v>
      </c>
      <c r="X39" s="13">
        <f t="shared" si="8"/>
        <v>0</v>
      </c>
      <c r="Y39" s="13">
        <f t="shared" si="8"/>
        <v>0</v>
      </c>
      <c r="Z39" s="13">
        <f t="shared" si="8"/>
        <v>0</v>
      </c>
      <c r="AA39" s="13">
        <f t="shared" si="8"/>
        <v>0</v>
      </c>
      <c r="AB39" s="13">
        <f t="shared" si="8"/>
        <v>0</v>
      </c>
      <c r="AC39" s="13">
        <f t="shared" si="8"/>
        <v>0</v>
      </c>
      <c r="AD39" s="13">
        <f t="shared" si="8"/>
        <v>0</v>
      </c>
      <c r="AE39" s="13">
        <f t="shared" si="8"/>
        <v>0</v>
      </c>
      <c r="AF39" s="13">
        <f t="shared" si="8"/>
        <v>0</v>
      </c>
      <c r="AG39" s="13">
        <f t="shared" si="8"/>
        <v>0</v>
      </c>
      <c r="AH39" s="13">
        <f t="shared" si="8"/>
        <v>0</v>
      </c>
      <c r="AI39" s="13">
        <f t="shared" si="8"/>
        <v>0</v>
      </c>
      <c r="AJ39" s="13">
        <f t="shared" si="8"/>
        <v>0</v>
      </c>
      <c r="AK39" s="13">
        <f t="shared" si="8"/>
        <v>0</v>
      </c>
      <c r="AL39" s="13">
        <f t="shared" si="8"/>
        <v>0</v>
      </c>
    </row>
    <row r="40">
      <c r="B40" s="15"/>
      <c r="C40" s="15" t="s">
        <v>131</v>
      </c>
      <c r="E40" s="57">
        <v>290.0</v>
      </c>
      <c r="F40" s="58"/>
      <c r="G40" s="58"/>
      <c r="H40" s="57"/>
      <c r="I40" s="58"/>
      <c r="J40" s="58"/>
      <c r="K40" s="58"/>
      <c r="L40" s="58"/>
      <c r="M40" s="58"/>
      <c r="N40" s="58"/>
      <c r="O40" s="57"/>
      <c r="P40" s="58"/>
      <c r="Q40" s="57"/>
      <c r="R40" s="58"/>
      <c r="S40" s="58"/>
      <c r="T40" s="58"/>
      <c r="U40" s="58"/>
      <c r="V40" s="58"/>
      <c r="W40" s="58"/>
      <c r="X40" s="58"/>
      <c r="Y40" s="58"/>
      <c r="Z40" s="58"/>
      <c r="AA40" s="57"/>
      <c r="AB40" s="58"/>
      <c r="AC40" s="57"/>
      <c r="AD40" s="58"/>
      <c r="AE40" s="58"/>
      <c r="AF40" s="58"/>
      <c r="AG40" s="58"/>
      <c r="AH40" s="58"/>
      <c r="AI40" s="58"/>
      <c r="AJ40" s="58"/>
      <c r="AK40" s="58"/>
      <c r="AL40" s="58"/>
    </row>
    <row r="41">
      <c r="B41" s="15"/>
      <c r="C41" s="15" t="s">
        <v>132</v>
      </c>
      <c r="E41" s="57"/>
      <c r="F41" s="58"/>
      <c r="G41" s="58"/>
      <c r="H41" s="57"/>
      <c r="I41" s="58"/>
      <c r="J41" s="58"/>
      <c r="K41" s="58"/>
      <c r="L41" s="58"/>
      <c r="M41" s="58"/>
      <c r="N41" s="58"/>
      <c r="O41" s="58"/>
      <c r="P41" s="58"/>
      <c r="Q41" s="57"/>
      <c r="R41" s="58"/>
      <c r="S41" s="58"/>
      <c r="T41" s="58"/>
      <c r="U41" s="58"/>
      <c r="V41" s="58"/>
      <c r="W41" s="58"/>
      <c r="X41" s="58"/>
      <c r="Y41" s="58"/>
      <c r="Z41" s="58"/>
      <c r="AA41" s="57"/>
      <c r="AB41" s="58"/>
      <c r="AC41" s="57"/>
      <c r="AD41" s="58"/>
      <c r="AE41" s="58"/>
      <c r="AF41" s="58"/>
      <c r="AG41" s="58"/>
      <c r="AH41" s="58"/>
      <c r="AI41" s="58"/>
      <c r="AJ41" s="58"/>
      <c r="AK41" s="58"/>
      <c r="AL41" s="58"/>
    </row>
    <row r="42">
      <c r="B42" s="15"/>
      <c r="C42" s="15" t="s">
        <v>123</v>
      </c>
      <c r="E42" s="57">
        <v>500.0</v>
      </c>
      <c r="F42" s="58"/>
      <c r="G42" s="58"/>
      <c r="H42" s="57"/>
      <c r="I42" s="58"/>
      <c r="J42" s="58"/>
      <c r="K42" s="58"/>
      <c r="L42" s="57">
        <v>500.0</v>
      </c>
      <c r="M42" s="58"/>
      <c r="N42" s="58"/>
      <c r="O42" s="57"/>
      <c r="P42" s="58"/>
      <c r="Q42" s="57"/>
      <c r="R42" s="58"/>
      <c r="S42" s="58"/>
      <c r="T42" s="58"/>
      <c r="U42" s="58"/>
      <c r="V42" s="58"/>
      <c r="W42" s="58"/>
      <c r="X42" s="58"/>
      <c r="Y42" s="58"/>
      <c r="Z42" s="58"/>
      <c r="AA42" s="57"/>
      <c r="AB42" s="58"/>
      <c r="AC42" s="57"/>
      <c r="AD42" s="58"/>
      <c r="AE42" s="58"/>
      <c r="AF42" s="58"/>
      <c r="AG42" s="58"/>
      <c r="AH42" s="58"/>
      <c r="AI42" s="58"/>
      <c r="AJ42" s="58"/>
      <c r="AK42" s="58"/>
      <c r="AL42" s="58"/>
    </row>
    <row r="43">
      <c r="B43" s="15"/>
      <c r="C43" s="15" t="s">
        <v>133</v>
      </c>
      <c r="E43" s="57"/>
      <c r="F43" s="57">
        <v>500.0</v>
      </c>
      <c r="G43" s="58"/>
      <c r="H43" s="57"/>
      <c r="I43" s="58"/>
      <c r="J43" s="58"/>
      <c r="K43" s="58"/>
      <c r="L43" s="58"/>
      <c r="M43" s="58"/>
      <c r="N43" s="58"/>
      <c r="O43" s="57"/>
      <c r="P43" s="58"/>
      <c r="Q43" s="57"/>
      <c r="R43" s="58"/>
      <c r="S43" s="58"/>
      <c r="T43" s="58"/>
      <c r="U43" s="58"/>
      <c r="V43" s="58"/>
      <c r="W43" s="58"/>
      <c r="X43" s="58"/>
      <c r="Y43" s="58"/>
      <c r="Z43" s="58"/>
      <c r="AA43" s="57"/>
      <c r="AB43" s="58"/>
      <c r="AC43" s="57"/>
      <c r="AD43" s="58"/>
      <c r="AE43" s="58"/>
      <c r="AF43" s="58"/>
      <c r="AG43" s="58"/>
      <c r="AH43" s="58"/>
      <c r="AI43" s="58"/>
      <c r="AJ43" s="58"/>
      <c r="AK43" s="58"/>
      <c r="AL43" s="58"/>
    </row>
    <row r="44">
      <c r="B44" s="15"/>
      <c r="C44" s="15" t="s">
        <v>134</v>
      </c>
      <c r="E44" s="57">
        <v>500.0</v>
      </c>
      <c r="F44" s="58"/>
      <c r="G44" s="58"/>
      <c r="H44" s="58"/>
      <c r="I44" s="58"/>
      <c r="J44" s="58"/>
      <c r="K44" s="58"/>
      <c r="L44" s="58"/>
      <c r="M44" s="58"/>
      <c r="N44" s="58"/>
      <c r="O44" s="57"/>
      <c r="P44" s="58"/>
      <c r="Q44" s="57"/>
      <c r="R44" s="58"/>
      <c r="S44" s="58"/>
      <c r="T44" s="58"/>
      <c r="U44" s="58"/>
      <c r="V44" s="58"/>
      <c r="W44" s="58"/>
      <c r="X44" s="58"/>
      <c r="Y44" s="58"/>
      <c r="Z44" s="58"/>
      <c r="AA44" s="57"/>
      <c r="AB44" s="58"/>
      <c r="AC44" s="57"/>
      <c r="AD44" s="58"/>
      <c r="AE44" s="58"/>
      <c r="AF44" s="58"/>
      <c r="AG44" s="58"/>
      <c r="AH44" s="58"/>
      <c r="AI44" s="58"/>
      <c r="AJ44" s="58"/>
      <c r="AK44" s="58"/>
      <c r="AL44" s="58"/>
    </row>
    <row r="45">
      <c r="B45" s="15"/>
      <c r="C45" s="15" t="s">
        <v>127</v>
      </c>
      <c r="E45" s="57">
        <v>321.0</v>
      </c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7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7"/>
      <c r="AD45" s="58"/>
      <c r="AE45" s="58"/>
      <c r="AF45" s="58"/>
      <c r="AG45" s="58"/>
      <c r="AH45" s="58"/>
      <c r="AI45" s="58"/>
      <c r="AJ45" s="58"/>
      <c r="AK45" s="58"/>
      <c r="AL45" s="58"/>
    </row>
    <row r="46">
      <c r="B46" s="15"/>
      <c r="C46" s="15" t="s">
        <v>135</v>
      </c>
      <c r="E46" s="57">
        <v>60.0</v>
      </c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</row>
    <row r="47"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</row>
    <row r="48">
      <c r="B48" s="10" t="s">
        <v>136</v>
      </c>
      <c r="C48" s="10"/>
      <c r="D48" s="11"/>
      <c r="E48" s="13">
        <f t="shared" ref="E48:AL48" si="9">-SUM(E49:E53)</f>
        <v>-210</v>
      </c>
      <c r="F48" s="13">
        <f t="shared" si="9"/>
        <v>-210</v>
      </c>
      <c r="G48" s="13">
        <f t="shared" si="9"/>
        <v>-210</v>
      </c>
      <c r="H48" s="13">
        <f t="shared" si="9"/>
        <v>-309</v>
      </c>
      <c r="I48" s="13">
        <f t="shared" si="9"/>
        <v>-309</v>
      </c>
      <c r="J48" s="13">
        <f t="shared" si="9"/>
        <v>-309</v>
      </c>
      <c r="K48" s="13">
        <f t="shared" si="9"/>
        <v>-309</v>
      </c>
      <c r="L48" s="13">
        <f t="shared" si="9"/>
        <v>-309</v>
      </c>
      <c r="M48" s="13">
        <f t="shared" si="9"/>
        <v>-309</v>
      </c>
      <c r="N48" s="13">
        <f t="shared" si="9"/>
        <v>-309</v>
      </c>
      <c r="O48" s="13">
        <f t="shared" si="9"/>
        <v>-309</v>
      </c>
      <c r="P48" s="13">
        <f t="shared" si="9"/>
        <v>-309</v>
      </c>
      <c r="Q48" s="13">
        <f t="shared" si="9"/>
        <v>-309</v>
      </c>
      <c r="R48" s="13">
        <f t="shared" si="9"/>
        <v>-309</v>
      </c>
      <c r="S48" s="13">
        <f t="shared" si="9"/>
        <v>-309</v>
      </c>
      <c r="T48" s="13">
        <f t="shared" si="9"/>
        <v>-309</v>
      </c>
      <c r="U48" s="13">
        <f t="shared" si="9"/>
        <v>-309</v>
      </c>
      <c r="V48" s="13">
        <f t="shared" si="9"/>
        <v>-309</v>
      </c>
      <c r="W48" s="13">
        <f t="shared" si="9"/>
        <v>-309</v>
      </c>
      <c r="X48" s="13">
        <f t="shared" si="9"/>
        <v>-309</v>
      </c>
      <c r="Y48" s="13">
        <f t="shared" si="9"/>
        <v>-309</v>
      </c>
      <c r="Z48" s="13">
        <f t="shared" si="9"/>
        <v>-309</v>
      </c>
      <c r="AA48" s="13">
        <f t="shared" si="9"/>
        <v>-309</v>
      </c>
      <c r="AB48" s="13">
        <f t="shared" si="9"/>
        <v>-309</v>
      </c>
      <c r="AC48" s="13">
        <f t="shared" si="9"/>
        <v>-309</v>
      </c>
      <c r="AD48" s="13">
        <f t="shared" si="9"/>
        <v>-309</v>
      </c>
      <c r="AE48" s="13">
        <f t="shared" si="9"/>
        <v>-309</v>
      </c>
      <c r="AF48" s="13">
        <f t="shared" si="9"/>
        <v>-309</v>
      </c>
      <c r="AG48" s="13">
        <f t="shared" si="9"/>
        <v>-309</v>
      </c>
      <c r="AH48" s="13">
        <f t="shared" si="9"/>
        <v>-309</v>
      </c>
      <c r="AI48" s="13">
        <f t="shared" si="9"/>
        <v>-309</v>
      </c>
      <c r="AJ48" s="13">
        <f t="shared" si="9"/>
        <v>-309</v>
      </c>
      <c r="AK48" s="13">
        <f t="shared" si="9"/>
        <v>-309</v>
      </c>
      <c r="AL48" s="13">
        <f t="shared" si="9"/>
        <v>-309</v>
      </c>
    </row>
    <row r="49">
      <c r="C49" s="15" t="s">
        <v>137</v>
      </c>
      <c r="E49" s="57">
        <v>40.0</v>
      </c>
      <c r="F49" s="57">
        <v>40.0</v>
      </c>
      <c r="G49" s="57">
        <v>40.0</v>
      </c>
      <c r="H49" s="57">
        <v>40.0</v>
      </c>
      <c r="I49" s="57">
        <v>40.0</v>
      </c>
      <c r="J49" s="57">
        <v>40.0</v>
      </c>
      <c r="K49" s="57">
        <v>40.0</v>
      </c>
      <c r="L49" s="57">
        <v>40.0</v>
      </c>
      <c r="M49" s="57">
        <v>40.0</v>
      </c>
      <c r="N49" s="57">
        <v>40.0</v>
      </c>
      <c r="O49" s="57">
        <v>40.0</v>
      </c>
      <c r="P49" s="57">
        <v>40.0</v>
      </c>
      <c r="Q49" s="57">
        <v>40.0</v>
      </c>
      <c r="R49" s="57">
        <v>40.0</v>
      </c>
      <c r="S49" s="57">
        <v>40.0</v>
      </c>
      <c r="T49" s="57">
        <v>40.0</v>
      </c>
      <c r="U49" s="57">
        <v>40.0</v>
      </c>
      <c r="V49" s="57">
        <v>40.0</v>
      </c>
      <c r="W49" s="57">
        <v>40.0</v>
      </c>
      <c r="X49" s="57">
        <v>40.0</v>
      </c>
      <c r="Y49" s="57">
        <v>40.0</v>
      </c>
      <c r="Z49" s="57">
        <v>40.0</v>
      </c>
      <c r="AA49" s="57">
        <v>40.0</v>
      </c>
      <c r="AB49" s="57">
        <v>40.0</v>
      </c>
      <c r="AC49" s="57">
        <v>40.0</v>
      </c>
      <c r="AD49" s="57">
        <v>40.0</v>
      </c>
      <c r="AE49" s="57">
        <v>40.0</v>
      </c>
      <c r="AF49" s="57">
        <v>40.0</v>
      </c>
      <c r="AG49" s="57">
        <v>40.0</v>
      </c>
      <c r="AH49" s="57">
        <v>40.0</v>
      </c>
      <c r="AI49" s="57">
        <v>40.0</v>
      </c>
      <c r="AJ49" s="57">
        <v>40.0</v>
      </c>
      <c r="AK49" s="57">
        <v>40.0</v>
      </c>
      <c r="AL49" s="57">
        <v>40.0</v>
      </c>
    </row>
    <row r="50">
      <c r="C50" s="15" t="s">
        <v>138</v>
      </c>
      <c r="E50" s="57">
        <v>20.0</v>
      </c>
      <c r="F50" s="57">
        <v>20.0</v>
      </c>
      <c r="G50" s="57">
        <v>20.0</v>
      </c>
      <c r="H50" s="57">
        <v>20.0</v>
      </c>
      <c r="I50" s="57">
        <v>20.0</v>
      </c>
      <c r="J50" s="57">
        <v>20.0</v>
      </c>
      <c r="K50" s="57">
        <v>20.0</v>
      </c>
      <c r="L50" s="57">
        <v>20.0</v>
      </c>
      <c r="M50" s="57">
        <v>20.0</v>
      </c>
      <c r="N50" s="57">
        <v>20.0</v>
      </c>
      <c r="O50" s="57">
        <v>20.0</v>
      </c>
      <c r="P50" s="57">
        <v>20.0</v>
      </c>
      <c r="Q50" s="57">
        <v>20.0</v>
      </c>
      <c r="R50" s="57">
        <v>20.0</v>
      </c>
      <c r="S50" s="57">
        <v>20.0</v>
      </c>
      <c r="T50" s="57">
        <v>20.0</v>
      </c>
      <c r="U50" s="57">
        <v>20.0</v>
      </c>
      <c r="V50" s="57">
        <v>20.0</v>
      </c>
      <c r="W50" s="57">
        <v>20.0</v>
      </c>
      <c r="X50" s="57">
        <v>20.0</v>
      </c>
      <c r="Y50" s="57">
        <v>20.0</v>
      </c>
      <c r="Z50" s="57">
        <v>20.0</v>
      </c>
      <c r="AA50" s="57">
        <v>20.0</v>
      </c>
      <c r="AB50" s="57">
        <v>20.0</v>
      </c>
      <c r="AC50" s="57">
        <v>20.0</v>
      </c>
      <c r="AD50" s="57">
        <v>20.0</v>
      </c>
      <c r="AE50" s="57">
        <v>20.0</v>
      </c>
      <c r="AF50" s="57">
        <v>20.0</v>
      </c>
      <c r="AG50" s="57">
        <v>20.0</v>
      </c>
      <c r="AH50" s="57">
        <v>20.0</v>
      </c>
      <c r="AI50" s="57">
        <v>20.0</v>
      </c>
      <c r="AJ50" s="57">
        <v>20.0</v>
      </c>
      <c r="AK50" s="57">
        <v>20.0</v>
      </c>
      <c r="AL50" s="57">
        <v>20.0</v>
      </c>
    </row>
    <row r="51">
      <c r="C51" s="15" t="s">
        <v>139</v>
      </c>
      <c r="E51" s="57">
        <v>0.0</v>
      </c>
      <c r="F51" s="57">
        <v>0.0</v>
      </c>
      <c r="G51" s="57">
        <v>0.0</v>
      </c>
      <c r="H51" s="57">
        <v>99.0</v>
      </c>
      <c r="I51" s="57">
        <v>99.0</v>
      </c>
      <c r="J51" s="57">
        <v>99.0</v>
      </c>
      <c r="K51" s="57">
        <v>99.0</v>
      </c>
      <c r="L51" s="57">
        <v>99.0</v>
      </c>
      <c r="M51" s="57">
        <v>99.0</v>
      </c>
      <c r="N51" s="57">
        <v>99.0</v>
      </c>
      <c r="O51" s="57">
        <v>99.0</v>
      </c>
      <c r="P51" s="57">
        <v>99.0</v>
      </c>
      <c r="Q51" s="57">
        <v>99.0</v>
      </c>
      <c r="R51" s="57">
        <v>99.0</v>
      </c>
      <c r="S51" s="57">
        <v>99.0</v>
      </c>
      <c r="T51" s="57">
        <v>99.0</v>
      </c>
      <c r="U51" s="57">
        <v>99.0</v>
      </c>
      <c r="V51" s="57">
        <v>99.0</v>
      </c>
      <c r="W51" s="57">
        <v>99.0</v>
      </c>
      <c r="X51" s="57">
        <v>99.0</v>
      </c>
      <c r="Y51" s="57">
        <v>99.0</v>
      </c>
      <c r="Z51" s="57">
        <v>99.0</v>
      </c>
      <c r="AA51" s="57">
        <v>99.0</v>
      </c>
      <c r="AB51" s="57">
        <v>99.0</v>
      </c>
      <c r="AC51" s="57">
        <v>99.0</v>
      </c>
      <c r="AD51" s="57">
        <v>99.0</v>
      </c>
      <c r="AE51" s="57">
        <v>99.0</v>
      </c>
      <c r="AF51" s="57">
        <v>99.0</v>
      </c>
      <c r="AG51" s="57">
        <v>99.0</v>
      </c>
      <c r="AH51" s="57">
        <v>99.0</v>
      </c>
      <c r="AI51" s="57">
        <v>99.0</v>
      </c>
      <c r="AJ51" s="57">
        <v>99.0</v>
      </c>
      <c r="AK51" s="57">
        <v>99.0</v>
      </c>
      <c r="AL51" s="57">
        <v>99.0</v>
      </c>
    </row>
    <row r="52">
      <c r="C52" s="15" t="s">
        <v>140</v>
      </c>
      <c r="E52" s="57">
        <v>50.0</v>
      </c>
      <c r="F52" s="57">
        <v>50.0</v>
      </c>
      <c r="G52" s="57">
        <v>50.0</v>
      </c>
      <c r="H52" s="57">
        <v>50.0</v>
      </c>
      <c r="I52" s="57">
        <v>50.0</v>
      </c>
      <c r="J52" s="57">
        <v>50.0</v>
      </c>
      <c r="K52" s="57">
        <v>50.0</v>
      </c>
      <c r="L52" s="57">
        <v>50.0</v>
      </c>
      <c r="M52" s="57">
        <v>50.0</v>
      </c>
      <c r="N52" s="57">
        <v>50.0</v>
      </c>
      <c r="O52" s="57">
        <v>50.0</v>
      </c>
      <c r="P52" s="57">
        <v>50.0</v>
      </c>
      <c r="Q52" s="57">
        <v>50.0</v>
      </c>
      <c r="R52" s="57">
        <v>50.0</v>
      </c>
      <c r="S52" s="57">
        <v>50.0</v>
      </c>
      <c r="T52" s="57">
        <v>50.0</v>
      </c>
      <c r="U52" s="57">
        <v>50.0</v>
      </c>
      <c r="V52" s="57">
        <v>50.0</v>
      </c>
      <c r="W52" s="57">
        <v>50.0</v>
      </c>
      <c r="X52" s="57">
        <v>50.0</v>
      </c>
      <c r="Y52" s="57">
        <v>50.0</v>
      </c>
      <c r="Z52" s="57">
        <v>50.0</v>
      </c>
      <c r="AA52" s="57">
        <v>50.0</v>
      </c>
      <c r="AB52" s="57">
        <v>50.0</v>
      </c>
      <c r="AC52" s="57">
        <v>50.0</v>
      </c>
      <c r="AD52" s="57">
        <v>50.0</v>
      </c>
      <c r="AE52" s="57">
        <v>50.0</v>
      </c>
      <c r="AF52" s="57">
        <v>50.0</v>
      </c>
      <c r="AG52" s="57">
        <v>50.0</v>
      </c>
      <c r="AH52" s="57">
        <v>50.0</v>
      </c>
      <c r="AI52" s="57">
        <v>50.0</v>
      </c>
      <c r="AJ52" s="57">
        <v>50.0</v>
      </c>
      <c r="AK52" s="57">
        <v>50.0</v>
      </c>
      <c r="AL52" s="57">
        <v>50.0</v>
      </c>
    </row>
    <row r="53">
      <c r="C53" s="15" t="s">
        <v>141</v>
      </c>
      <c r="E53" s="57">
        <v>100.0</v>
      </c>
      <c r="F53" s="57">
        <v>100.0</v>
      </c>
      <c r="G53" s="57">
        <v>100.0</v>
      </c>
      <c r="H53" s="57">
        <v>100.0</v>
      </c>
      <c r="I53" s="57">
        <v>100.0</v>
      </c>
      <c r="J53" s="57">
        <v>100.0</v>
      </c>
      <c r="K53" s="57">
        <v>100.0</v>
      </c>
      <c r="L53" s="57">
        <v>100.0</v>
      </c>
      <c r="M53" s="57">
        <v>100.0</v>
      </c>
      <c r="N53" s="57">
        <v>100.0</v>
      </c>
      <c r="O53" s="57">
        <v>100.0</v>
      </c>
      <c r="P53" s="57">
        <v>100.0</v>
      </c>
      <c r="Q53" s="57">
        <v>100.0</v>
      </c>
      <c r="R53" s="57">
        <v>100.0</v>
      </c>
      <c r="S53" s="57">
        <v>100.0</v>
      </c>
      <c r="T53" s="57">
        <v>100.0</v>
      </c>
      <c r="U53" s="57">
        <v>100.0</v>
      </c>
      <c r="V53" s="57">
        <v>100.0</v>
      </c>
      <c r="W53" s="57">
        <v>100.0</v>
      </c>
      <c r="X53" s="57">
        <v>100.0</v>
      </c>
      <c r="Y53" s="57">
        <v>100.0</v>
      </c>
      <c r="Z53" s="57">
        <v>100.0</v>
      </c>
      <c r="AA53" s="57">
        <v>100.0</v>
      </c>
      <c r="AB53" s="57">
        <v>100.0</v>
      </c>
      <c r="AC53" s="57">
        <v>100.0</v>
      </c>
      <c r="AD53" s="57">
        <v>100.0</v>
      </c>
      <c r="AE53" s="57">
        <v>100.0</v>
      </c>
      <c r="AF53" s="57">
        <v>100.0</v>
      </c>
      <c r="AG53" s="57">
        <v>100.0</v>
      </c>
      <c r="AH53" s="57">
        <v>100.0</v>
      </c>
      <c r="AI53" s="57">
        <v>100.0</v>
      </c>
      <c r="AJ53" s="57">
        <v>100.0</v>
      </c>
      <c r="AK53" s="57">
        <v>100.0</v>
      </c>
      <c r="AL53" s="57">
        <v>100.0</v>
      </c>
    </row>
    <row r="55">
      <c r="B55" s="10" t="s">
        <v>142</v>
      </c>
      <c r="C55" s="10"/>
      <c r="D55" s="11"/>
      <c r="E55" s="13">
        <f t="shared" ref="E55:AL55" si="10">-SUM(E56)</f>
        <v>0</v>
      </c>
      <c r="F55" s="13">
        <f t="shared" si="10"/>
        <v>0</v>
      </c>
      <c r="G55" s="13">
        <f t="shared" si="10"/>
        <v>0</v>
      </c>
      <c r="H55" s="13">
        <f t="shared" si="10"/>
        <v>0</v>
      </c>
      <c r="I55" s="13">
        <f t="shared" si="10"/>
        <v>0</v>
      </c>
      <c r="J55" s="13">
        <f t="shared" si="10"/>
        <v>0</v>
      </c>
      <c r="K55" s="13">
        <f t="shared" si="10"/>
        <v>0</v>
      </c>
      <c r="L55" s="13">
        <f t="shared" si="10"/>
        <v>0</v>
      </c>
      <c r="M55" s="13">
        <f t="shared" si="10"/>
        <v>0</v>
      </c>
      <c r="N55" s="13">
        <f t="shared" si="10"/>
        <v>0</v>
      </c>
      <c r="O55" s="13">
        <f t="shared" si="10"/>
        <v>0</v>
      </c>
      <c r="P55" s="13">
        <f t="shared" si="10"/>
        <v>0</v>
      </c>
      <c r="Q55" s="13">
        <f t="shared" si="10"/>
        <v>0</v>
      </c>
      <c r="R55" s="13">
        <f t="shared" si="10"/>
        <v>0</v>
      </c>
      <c r="S55" s="13">
        <f t="shared" si="10"/>
        <v>0</v>
      </c>
      <c r="T55" s="13">
        <f t="shared" si="10"/>
        <v>0</v>
      </c>
      <c r="U55" s="13">
        <f t="shared" si="10"/>
        <v>0</v>
      </c>
      <c r="V55" s="13">
        <f t="shared" si="10"/>
        <v>0</v>
      </c>
      <c r="W55" s="13">
        <f t="shared" si="10"/>
        <v>0</v>
      </c>
      <c r="X55" s="13">
        <f t="shared" si="10"/>
        <v>0</v>
      </c>
      <c r="Y55" s="13">
        <f t="shared" si="10"/>
        <v>0</v>
      </c>
      <c r="Z55" s="13">
        <f t="shared" si="10"/>
        <v>0</v>
      </c>
      <c r="AA55" s="13">
        <f t="shared" si="10"/>
        <v>0</v>
      </c>
      <c r="AB55" s="13">
        <f t="shared" si="10"/>
        <v>0</v>
      </c>
      <c r="AC55" s="13">
        <f t="shared" si="10"/>
        <v>0</v>
      </c>
      <c r="AD55" s="13">
        <f t="shared" si="10"/>
        <v>0</v>
      </c>
      <c r="AE55" s="13">
        <f t="shared" si="10"/>
        <v>0</v>
      </c>
      <c r="AF55" s="13">
        <f t="shared" si="10"/>
        <v>0</v>
      </c>
      <c r="AG55" s="13">
        <f t="shared" si="10"/>
        <v>0</v>
      </c>
      <c r="AH55" s="13">
        <f t="shared" si="10"/>
        <v>0</v>
      </c>
      <c r="AI55" s="13">
        <f t="shared" si="10"/>
        <v>0</v>
      </c>
      <c r="AJ55" s="13">
        <f t="shared" si="10"/>
        <v>0</v>
      </c>
      <c r="AK55" s="13">
        <f t="shared" si="10"/>
        <v>0</v>
      </c>
      <c r="AL55" s="13">
        <f t="shared" si="10"/>
        <v>0</v>
      </c>
    </row>
    <row r="56">
      <c r="B56" s="15"/>
      <c r="C56" s="15" t="s">
        <v>143</v>
      </c>
      <c r="E56" s="57">
        <v>0.0</v>
      </c>
      <c r="F56" s="57">
        <v>0.0</v>
      </c>
      <c r="G56" s="57">
        <v>0.0</v>
      </c>
      <c r="H56" s="57">
        <v>0.0</v>
      </c>
      <c r="I56" s="57">
        <v>0.0</v>
      </c>
      <c r="J56" s="57">
        <v>0.0</v>
      </c>
      <c r="K56" s="57">
        <v>0.0</v>
      </c>
      <c r="L56" s="57">
        <v>0.0</v>
      </c>
      <c r="M56" s="57">
        <v>0.0</v>
      </c>
      <c r="N56" s="57">
        <v>0.0</v>
      </c>
      <c r="O56" s="57">
        <v>0.0</v>
      </c>
      <c r="P56" s="57">
        <v>0.0</v>
      </c>
      <c r="Q56" s="57">
        <v>0.0</v>
      </c>
      <c r="R56" s="57">
        <v>0.0</v>
      </c>
      <c r="S56" s="57">
        <v>0.0</v>
      </c>
      <c r="T56" s="57">
        <v>0.0</v>
      </c>
      <c r="U56" s="57">
        <v>0.0</v>
      </c>
      <c r="V56" s="57">
        <v>0.0</v>
      </c>
      <c r="W56" s="57">
        <v>0.0</v>
      </c>
      <c r="X56" s="57">
        <v>0.0</v>
      </c>
      <c r="Y56" s="57">
        <v>0.0</v>
      </c>
      <c r="Z56" s="57">
        <v>0.0</v>
      </c>
      <c r="AA56" s="57">
        <v>0.0</v>
      </c>
      <c r="AB56" s="57">
        <v>0.0</v>
      </c>
      <c r="AC56" s="57">
        <v>0.0</v>
      </c>
      <c r="AD56" s="57">
        <v>0.0</v>
      </c>
      <c r="AE56" s="57">
        <v>0.0</v>
      </c>
      <c r="AF56" s="57">
        <v>0.0</v>
      </c>
      <c r="AG56" s="57">
        <v>0.0</v>
      </c>
      <c r="AH56" s="57">
        <v>0.0</v>
      </c>
      <c r="AI56" s="57">
        <v>0.0</v>
      </c>
      <c r="AJ56" s="57">
        <v>0.0</v>
      </c>
      <c r="AK56" s="57">
        <v>0.0</v>
      </c>
      <c r="AL56" s="57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34.75"/>
  </cols>
  <sheetData>
    <row r="1">
      <c r="A1" s="10" t="s">
        <v>144</v>
      </c>
      <c r="C1" s="15"/>
      <c r="D1" s="15" t="s">
        <v>145</v>
      </c>
    </row>
    <row r="2">
      <c r="A2" s="24" t="s">
        <v>146</v>
      </c>
      <c r="B2" s="24" t="s">
        <v>147</v>
      </c>
      <c r="C2" s="59" t="s">
        <v>148</v>
      </c>
      <c r="D2" s="60">
        <f>SUM(D3)</f>
        <v>2000</v>
      </c>
    </row>
    <row r="3">
      <c r="A3" s="15" t="s">
        <v>149</v>
      </c>
      <c r="B3" s="61" t="s">
        <v>150</v>
      </c>
      <c r="C3" s="38" t="s">
        <v>151</v>
      </c>
      <c r="D3" s="38">
        <f>ROUND(2970.89/1.19*0.8/100,0)*100</f>
        <v>2000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3" max="14" width="7.63"/>
    <col customWidth="1" min="15" max="33" width="8.5"/>
    <col customWidth="1" min="34" max="36" width="9.5"/>
  </cols>
  <sheetData>
    <row r="1">
      <c r="A1" s="15">
        <v>400.0</v>
      </c>
      <c r="B1" s="15">
        <v>400.0</v>
      </c>
      <c r="C1" s="2">
        <v>46112.0</v>
      </c>
      <c r="D1" s="4">
        <f t="shared" ref="D1:AJ1" si="1">EOMONTH(C1,1)</f>
        <v>46142</v>
      </c>
      <c r="E1" s="4">
        <f t="shared" si="1"/>
        <v>46173</v>
      </c>
      <c r="F1" s="4">
        <f t="shared" si="1"/>
        <v>46203</v>
      </c>
      <c r="G1" s="4">
        <f t="shared" si="1"/>
        <v>46234</v>
      </c>
      <c r="H1" s="4">
        <f t="shared" si="1"/>
        <v>46265</v>
      </c>
      <c r="I1" s="4">
        <f t="shared" si="1"/>
        <v>46295</v>
      </c>
      <c r="J1" s="4">
        <f t="shared" si="1"/>
        <v>46326</v>
      </c>
      <c r="K1" s="4">
        <f t="shared" si="1"/>
        <v>46356</v>
      </c>
      <c r="L1" s="4">
        <f t="shared" si="1"/>
        <v>46387</v>
      </c>
      <c r="M1" s="4">
        <f t="shared" si="1"/>
        <v>46418</v>
      </c>
      <c r="N1" s="4">
        <f t="shared" si="1"/>
        <v>46446</v>
      </c>
      <c r="O1" s="4">
        <f t="shared" si="1"/>
        <v>46477</v>
      </c>
      <c r="P1" s="4">
        <f t="shared" si="1"/>
        <v>46507</v>
      </c>
      <c r="Q1" s="4">
        <f t="shared" si="1"/>
        <v>46538</v>
      </c>
      <c r="R1" s="4">
        <f t="shared" si="1"/>
        <v>46568</v>
      </c>
      <c r="S1" s="4">
        <f t="shared" si="1"/>
        <v>46599</v>
      </c>
      <c r="T1" s="4">
        <f t="shared" si="1"/>
        <v>46630</v>
      </c>
      <c r="U1" s="4">
        <f t="shared" si="1"/>
        <v>46660</v>
      </c>
      <c r="V1" s="4">
        <f t="shared" si="1"/>
        <v>46691</v>
      </c>
      <c r="W1" s="4">
        <f t="shared" si="1"/>
        <v>46721</v>
      </c>
      <c r="X1" s="4">
        <f t="shared" si="1"/>
        <v>46752</v>
      </c>
      <c r="Y1" s="4">
        <f t="shared" si="1"/>
        <v>46783</v>
      </c>
      <c r="Z1" s="4">
        <f t="shared" si="1"/>
        <v>46812</v>
      </c>
      <c r="AA1" s="4">
        <f t="shared" si="1"/>
        <v>46843</v>
      </c>
      <c r="AB1" s="4">
        <f t="shared" si="1"/>
        <v>46873</v>
      </c>
      <c r="AC1" s="4">
        <f t="shared" si="1"/>
        <v>46904</v>
      </c>
      <c r="AD1" s="4">
        <f t="shared" si="1"/>
        <v>46934</v>
      </c>
      <c r="AE1" s="4">
        <f t="shared" si="1"/>
        <v>46965</v>
      </c>
      <c r="AF1" s="4">
        <f t="shared" si="1"/>
        <v>46996</v>
      </c>
      <c r="AG1" s="4">
        <f t="shared" si="1"/>
        <v>47026</v>
      </c>
      <c r="AH1" s="4">
        <f t="shared" si="1"/>
        <v>47057</v>
      </c>
      <c r="AI1" s="4">
        <f t="shared" si="1"/>
        <v>47087</v>
      </c>
      <c r="AJ1" s="4">
        <f t="shared" si="1"/>
        <v>47118</v>
      </c>
    </row>
    <row r="2"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</row>
    <row r="3">
      <c r="A3" s="15" t="s">
        <v>152</v>
      </c>
      <c r="C3" s="57">
        <v>0.0</v>
      </c>
      <c r="D3" s="16">
        <f t="shared" ref="D3:AJ3" si="2">C26</f>
        <v>1157.7</v>
      </c>
      <c r="E3" s="16">
        <f t="shared" si="2"/>
        <v>1490.6</v>
      </c>
      <c r="F3" s="16">
        <f t="shared" si="2"/>
        <v>2321.7</v>
      </c>
      <c r="G3" s="16">
        <f t="shared" si="2"/>
        <v>3040.2</v>
      </c>
      <c r="H3" s="16">
        <f t="shared" si="2"/>
        <v>3861.5</v>
      </c>
      <c r="I3" s="16">
        <f t="shared" si="2"/>
        <v>3776.48</v>
      </c>
      <c r="J3" s="16">
        <f t="shared" si="2"/>
        <v>3631.34</v>
      </c>
      <c r="K3" s="16">
        <f t="shared" si="2"/>
        <v>3177.08</v>
      </c>
      <c r="L3" s="16">
        <f t="shared" si="2"/>
        <v>2633.78</v>
      </c>
      <c r="M3" s="16">
        <f t="shared" si="2"/>
        <v>2377.24</v>
      </c>
      <c r="N3" s="16">
        <f t="shared" si="2"/>
        <v>2575.34</v>
      </c>
      <c r="O3" s="16">
        <f t="shared" si="2"/>
        <v>3161.68</v>
      </c>
      <c r="P3" s="16">
        <f t="shared" si="2"/>
        <v>2975.308416</v>
      </c>
      <c r="Q3" s="16">
        <f t="shared" si="2"/>
        <v>2895.825247</v>
      </c>
      <c r="R3" s="16">
        <f t="shared" si="2"/>
        <v>3443.310494</v>
      </c>
      <c r="S3" s="16">
        <f t="shared" si="2"/>
        <v>3980.164156</v>
      </c>
      <c r="T3" s="16">
        <f t="shared" si="2"/>
        <v>4684.066234</v>
      </c>
      <c r="U3" s="16">
        <f t="shared" si="2"/>
        <v>5632.616727</v>
      </c>
      <c r="V3" s="16">
        <f t="shared" si="2"/>
        <v>6799.895636</v>
      </c>
      <c r="W3" s="16">
        <f t="shared" si="2"/>
        <v>8262.982961</v>
      </c>
      <c r="X3" s="16">
        <f t="shared" si="2"/>
        <v>10111.4787</v>
      </c>
      <c r="Y3" s="16">
        <f t="shared" si="2"/>
        <v>12357.66286</v>
      </c>
      <c r="Z3" s="16">
        <f t="shared" si="2"/>
        <v>14570.55012</v>
      </c>
      <c r="AA3" s="16">
        <f t="shared" si="2"/>
        <v>18019.31738</v>
      </c>
      <c r="AB3" s="16">
        <f t="shared" si="2"/>
        <v>22545.04464</v>
      </c>
      <c r="AC3" s="16">
        <f t="shared" si="2"/>
        <v>28121.2119</v>
      </c>
      <c r="AD3" s="16">
        <f t="shared" si="2"/>
        <v>35657.89917</v>
      </c>
      <c r="AE3" s="16">
        <f t="shared" si="2"/>
        <v>44499.38643</v>
      </c>
      <c r="AF3" s="16">
        <f t="shared" si="2"/>
        <v>54959.95369</v>
      </c>
      <c r="AG3" s="16">
        <f t="shared" si="2"/>
        <v>67045.88095</v>
      </c>
      <c r="AH3" s="16">
        <f t="shared" si="2"/>
        <v>80834.44821</v>
      </c>
      <c r="AI3" s="16">
        <f t="shared" si="2"/>
        <v>96411.13548</v>
      </c>
      <c r="AJ3" s="16">
        <f t="shared" si="2"/>
        <v>113996.7027</v>
      </c>
    </row>
    <row r="4">
      <c r="A4" s="10" t="s">
        <v>153</v>
      </c>
      <c r="B4" s="11"/>
      <c r="C4" s="55">
        <f t="shared" ref="C4:AJ4" si="3">SUM(C5:C8)</f>
        <v>4015</v>
      </c>
      <c r="D4" s="55">
        <f t="shared" si="3"/>
        <v>2030</v>
      </c>
      <c r="E4" s="55">
        <f t="shared" si="3"/>
        <v>2045</v>
      </c>
      <c r="F4" s="55">
        <f t="shared" si="3"/>
        <v>2075</v>
      </c>
      <c r="G4" s="55">
        <f t="shared" si="3"/>
        <v>2335</v>
      </c>
      <c r="H4" s="55">
        <f t="shared" si="3"/>
        <v>1672</v>
      </c>
      <c r="I4" s="55">
        <f t="shared" si="3"/>
        <v>2037</v>
      </c>
      <c r="J4" s="55">
        <f t="shared" si="3"/>
        <v>2502</v>
      </c>
      <c r="K4" s="55">
        <f t="shared" si="3"/>
        <v>2159</v>
      </c>
      <c r="L4" s="55">
        <f t="shared" si="3"/>
        <v>2814</v>
      </c>
      <c r="M4" s="55">
        <f t="shared" si="3"/>
        <v>3646</v>
      </c>
      <c r="N4" s="55">
        <f t="shared" si="3"/>
        <v>4461</v>
      </c>
      <c r="O4" s="55">
        <f t="shared" si="3"/>
        <v>5468</v>
      </c>
      <c r="P4" s="55">
        <f t="shared" si="3"/>
        <v>6458</v>
      </c>
      <c r="Q4" s="55">
        <f t="shared" si="3"/>
        <v>7740</v>
      </c>
      <c r="R4" s="55">
        <f t="shared" si="3"/>
        <v>8890</v>
      </c>
      <c r="S4" s="55">
        <f t="shared" si="3"/>
        <v>10202</v>
      </c>
      <c r="T4" s="55">
        <f t="shared" si="3"/>
        <v>11659</v>
      </c>
      <c r="U4" s="55">
        <f t="shared" si="3"/>
        <v>13146</v>
      </c>
      <c r="V4" s="55">
        <f t="shared" si="3"/>
        <v>14763</v>
      </c>
      <c r="W4" s="55">
        <f t="shared" si="3"/>
        <v>16525</v>
      </c>
      <c r="X4" s="55">
        <f t="shared" si="3"/>
        <v>18332</v>
      </c>
      <c r="Y4" s="55">
        <f t="shared" si="3"/>
        <v>20431</v>
      </c>
      <c r="Z4" s="55">
        <f t="shared" si="3"/>
        <v>22498</v>
      </c>
      <c r="AA4" s="55">
        <f t="shared" si="3"/>
        <v>24757</v>
      </c>
      <c r="AB4" s="55">
        <f t="shared" si="3"/>
        <v>27014</v>
      </c>
      <c r="AC4" s="55">
        <f t="shared" si="3"/>
        <v>29563</v>
      </c>
      <c r="AD4" s="55">
        <f t="shared" si="3"/>
        <v>31995</v>
      </c>
      <c r="AE4" s="55">
        <f t="shared" si="3"/>
        <v>34834</v>
      </c>
      <c r="AF4" s="55">
        <f t="shared" si="3"/>
        <v>37718</v>
      </c>
      <c r="AG4" s="55">
        <f t="shared" si="3"/>
        <v>40747</v>
      </c>
      <c r="AH4" s="55">
        <f t="shared" si="3"/>
        <v>43936</v>
      </c>
      <c r="AI4" s="55">
        <f t="shared" si="3"/>
        <v>47417</v>
      </c>
      <c r="AJ4" s="55">
        <f t="shared" si="3"/>
        <v>50896</v>
      </c>
    </row>
    <row r="5">
      <c r="A5" s="15" t="s">
        <v>154</v>
      </c>
      <c r="B5" s="15" t="s">
        <v>155</v>
      </c>
      <c r="C5" s="43">
        <f>Umsatz!D33+Umsatz!D38</f>
        <v>15</v>
      </c>
      <c r="D5" s="43">
        <f>Umsatz!E33+Umsatz!E38</f>
        <v>30</v>
      </c>
      <c r="E5" s="43">
        <f>Umsatz!F33+Umsatz!F38</f>
        <v>45</v>
      </c>
      <c r="F5" s="43">
        <f>Umsatz!G33+Umsatz!G38</f>
        <v>75</v>
      </c>
      <c r="G5" s="43">
        <f>Umsatz!H33+Umsatz!H38</f>
        <v>335</v>
      </c>
      <c r="H5" s="43">
        <f>Umsatz!I33+Umsatz!I38</f>
        <v>510</v>
      </c>
      <c r="I5" s="43">
        <f>Umsatz!J33+Umsatz!J38</f>
        <v>875</v>
      </c>
      <c r="J5" s="43">
        <f>Umsatz!K33+Umsatz!K38</f>
        <v>1340</v>
      </c>
      <c r="K5" s="43">
        <f>Umsatz!L33+Umsatz!L38</f>
        <v>1835</v>
      </c>
      <c r="L5" s="43">
        <f>Umsatz!M33+Umsatz!M38</f>
        <v>2490</v>
      </c>
      <c r="M5" s="43">
        <f>Umsatz!N33+Umsatz!N38</f>
        <v>3160</v>
      </c>
      <c r="N5" s="43">
        <f>Umsatz!O33+Umsatz!O38</f>
        <v>3975</v>
      </c>
      <c r="O5" s="43">
        <f>Umsatz!P33+Umsatz!P38</f>
        <v>4820</v>
      </c>
      <c r="P5" s="43">
        <f>Umsatz!Q33+Umsatz!Q38</f>
        <v>5810</v>
      </c>
      <c r="Q5" s="43">
        <f>Umsatz!R33+Umsatz!R38</f>
        <v>6930</v>
      </c>
      <c r="R5" s="43">
        <f>Umsatz!S33+Umsatz!S38</f>
        <v>8080</v>
      </c>
      <c r="S5" s="43">
        <f>Umsatz!T33+Umsatz!T38</f>
        <v>9230</v>
      </c>
      <c r="T5" s="43">
        <f>Umsatz!U33+Umsatz!U38</f>
        <v>10525</v>
      </c>
      <c r="U5" s="43">
        <f>Umsatz!V33+Umsatz!V38</f>
        <v>11850</v>
      </c>
      <c r="V5" s="43">
        <f>Umsatz!W33+Umsatz!W38</f>
        <v>13305</v>
      </c>
      <c r="W5" s="43">
        <f>Umsatz!X33+Umsatz!X38</f>
        <v>14905</v>
      </c>
      <c r="X5" s="43">
        <f>Umsatz!Y33+Umsatz!Y38</f>
        <v>16550</v>
      </c>
      <c r="Y5" s="43">
        <f>Umsatz!Z33+Umsatz!Z38</f>
        <v>18325</v>
      </c>
      <c r="Z5" s="43">
        <f>Umsatz!AA33+Umsatz!AA38</f>
        <v>20230</v>
      </c>
      <c r="AA5" s="43">
        <f>Umsatz!AB33+Umsatz!AB38</f>
        <v>22165</v>
      </c>
      <c r="AB5" s="43">
        <f>Umsatz!AC33+Umsatz!AC38</f>
        <v>24260</v>
      </c>
      <c r="AC5" s="43">
        <f>Umsatz!AD33+Umsatz!AD38</f>
        <v>26485</v>
      </c>
      <c r="AD5" s="43">
        <f>Umsatz!AE33+Umsatz!AE38</f>
        <v>28755</v>
      </c>
      <c r="AE5" s="43">
        <f>Umsatz!AF33+Umsatz!AF38</f>
        <v>31270</v>
      </c>
      <c r="AF5" s="43">
        <f>Umsatz!AG33+Umsatz!AG38</f>
        <v>33830</v>
      </c>
      <c r="AG5" s="43">
        <f>Umsatz!AH33+Umsatz!AH38</f>
        <v>36535</v>
      </c>
      <c r="AH5" s="43">
        <f>Umsatz!AI33+Umsatz!AI38</f>
        <v>39400</v>
      </c>
      <c r="AI5" s="43">
        <f>Umsatz!AJ33+Umsatz!AJ38</f>
        <v>42395</v>
      </c>
      <c r="AJ5" s="43">
        <f>Umsatz!AK33+Umsatz!AK38</f>
        <v>45550</v>
      </c>
    </row>
    <row r="6">
      <c r="A6" s="15" t="s">
        <v>156</v>
      </c>
      <c r="B6" s="15" t="s">
        <v>155</v>
      </c>
      <c r="C6" s="57">
        <f>Umsatz!D34</f>
        <v>0</v>
      </c>
      <c r="D6" s="57">
        <f>Umsatz!E34</f>
        <v>0</v>
      </c>
      <c r="E6" s="57">
        <f>Umsatz!F34</f>
        <v>0</v>
      </c>
      <c r="F6" s="57">
        <f>Umsatz!G34</f>
        <v>0</v>
      </c>
      <c r="G6" s="57">
        <f>Umsatz!H34</f>
        <v>0</v>
      </c>
      <c r="H6" s="57">
        <f>Umsatz!I34</f>
        <v>162</v>
      </c>
      <c r="I6" s="57">
        <f>Umsatz!J34</f>
        <v>162</v>
      </c>
      <c r="J6" s="57">
        <f>Umsatz!K34</f>
        <v>162</v>
      </c>
      <c r="K6" s="57">
        <f>Umsatz!L34</f>
        <v>324</v>
      </c>
      <c r="L6" s="57">
        <f>Umsatz!M34</f>
        <v>324</v>
      </c>
      <c r="M6" s="57">
        <f>Umsatz!N34</f>
        <v>486</v>
      </c>
      <c r="N6" s="57">
        <f>Umsatz!O34</f>
        <v>486</v>
      </c>
      <c r="O6" s="57">
        <f>Umsatz!P34</f>
        <v>648</v>
      </c>
      <c r="P6" s="57">
        <f>Umsatz!Q34</f>
        <v>648</v>
      </c>
      <c r="Q6" s="57">
        <f>Umsatz!R34</f>
        <v>810</v>
      </c>
      <c r="R6" s="57">
        <f>Umsatz!S34</f>
        <v>810</v>
      </c>
      <c r="S6" s="57">
        <f>Umsatz!T34</f>
        <v>972</v>
      </c>
      <c r="T6" s="57">
        <f>Umsatz!U34</f>
        <v>1134</v>
      </c>
      <c r="U6" s="57">
        <f>Umsatz!V34</f>
        <v>1296</v>
      </c>
      <c r="V6" s="57">
        <f>Umsatz!W34</f>
        <v>1458</v>
      </c>
      <c r="W6" s="57">
        <f>Umsatz!X34</f>
        <v>1620</v>
      </c>
      <c r="X6" s="57">
        <f>Umsatz!Y34</f>
        <v>1782</v>
      </c>
      <c r="Y6" s="57">
        <f>Umsatz!Z34</f>
        <v>2106</v>
      </c>
      <c r="Z6" s="57">
        <f>Umsatz!AA34</f>
        <v>2268</v>
      </c>
      <c r="AA6" s="57">
        <f>Umsatz!AB34</f>
        <v>2592</v>
      </c>
      <c r="AB6" s="57">
        <f>Umsatz!AC34</f>
        <v>2754</v>
      </c>
      <c r="AC6" s="57">
        <f>Umsatz!AD34</f>
        <v>3078</v>
      </c>
      <c r="AD6" s="57">
        <f>Umsatz!AE34</f>
        <v>3240</v>
      </c>
      <c r="AE6" s="57">
        <f>Umsatz!AF34</f>
        <v>3564</v>
      </c>
      <c r="AF6" s="57">
        <f>Umsatz!AG34</f>
        <v>3888</v>
      </c>
      <c r="AG6" s="57">
        <f>Umsatz!AH34</f>
        <v>4212</v>
      </c>
      <c r="AH6" s="57">
        <f>Umsatz!AI34</f>
        <v>4536</v>
      </c>
      <c r="AI6" s="57">
        <f>Umsatz!AJ34</f>
        <v>5022</v>
      </c>
      <c r="AJ6" s="57">
        <f>Umsatz!AK34</f>
        <v>5346</v>
      </c>
    </row>
    <row r="7">
      <c r="A7" s="15" t="s">
        <v>16</v>
      </c>
      <c r="C7" s="57">
        <v>4000.0</v>
      </c>
      <c r="D7" s="57">
        <v>2000.0</v>
      </c>
      <c r="E7" s="57">
        <v>2000.0</v>
      </c>
      <c r="F7" s="57">
        <v>2000.0</v>
      </c>
      <c r="G7" s="57">
        <v>2000.0</v>
      </c>
      <c r="H7" s="57">
        <v>1000.0</v>
      </c>
      <c r="I7" s="57">
        <v>1000.0</v>
      </c>
      <c r="J7" s="57">
        <v>1000.0</v>
      </c>
      <c r="K7" s="57">
        <v>0.0</v>
      </c>
      <c r="L7" s="57">
        <v>0.0</v>
      </c>
      <c r="M7" s="57">
        <v>0.0</v>
      </c>
      <c r="N7" s="57">
        <v>0.0</v>
      </c>
      <c r="O7" s="57">
        <v>0.0</v>
      </c>
      <c r="P7" s="57">
        <v>0.0</v>
      </c>
      <c r="Q7" s="57">
        <v>0.0</v>
      </c>
      <c r="R7" s="57">
        <v>0.0</v>
      </c>
      <c r="S7" s="57">
        <v>0.0</v>
      </c>
      <c r="T7" s="57">
        <v>0.0</v>
      </c>
      <c r="U7" s="57">
        <v>0.0</v>
      </c>
      <c r="V7" s="57">
        <v>0.0</v>
      </c>
      <c r="W7" s="57">
        <v>0.0</v>
      </c>
      <c r="X7" s="57">
        <v>0.0</v>
      </c>
      <c r="Y7" s="57">
        <v>0.0</v>
      </c>
      <c r="Z7" s="57">
        <v>0.0</v>
      </c>
      <c r="AA7" s="57">
        <v>0.0</v>
      </c>
      <c r="AB7" s="57">
        <v>0.0</v>
      </c>
      <c r="AC7" s="57">
        <v>0.0</v>
      </c>
      <c r="AD7" s="57">
        <v>0.0</v>
      </c>
      <c r="AE7" s="57">
        <v>0.0</v>
      </c>
      <c r="AF7" s="57">
        <v>0.0</v>
      </c>
      <c r="AG7" s="57">
        <v>0.0</v>
      </c>
      <c r="AH7" s="57">
        <v>0.0</v>
      </c>
      <c r="AI7" s="57">
        <v>0.0</v>
      </c>
      <c r="AJ7" s="57">
        <v>0.0</v>
      </c>
    </row>
    <row r="8"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</row>
    <row r="9">
      <c r="A9" s="10" t="s">
        <v>157</v>
      </c>
      <c r="B9" s="11"/>
      <c r="C9" s="13">
        <f t="shared" ref="C9:AJ9" si="4">C4+C3</f>
        <v>4015</v>
      </c>
      <c r="D9" s="13">
        <f t="shared" si="4"/>
        <v>3187.7</v>
      </c>
      <c r="E9" s="13">
        <f t="shared" si="4"/>
        <v>3535.6</v>
      </c>
      <c r="F9" s="13">
        <f t="shared" si="4"/>
        <v>4396.7</v>
      </c>
      <c r="G9" s="13">
        <f t="shared" si="4"/>
        <v>5375.2</v>
      </c>
      <c r="H9" s="13">
        <f t="shared" si="4"/>
        <v>5533.5</v>
      </c>
      <c r="I9" s="13">
        <f t="shared" si="4"/>
        <v>5813.48</v>
      </c>
      <c r="J9" s="13">
        <f t="shared" si="4"/>
        <v>6133.34</v>
      </c>
      <c r="K9" s="13">
        <f t="shared" si="4"/>
        <v>5336.08</v>
      </c>
      <c r="L9" s="13">
        <f t="shared" si="4"/>
        <v>5447.78</v>
      </c>
      <c r="M9" s="13">
        <f t="shared" si="4"/>
        <v>6023.24</v>
      </c>
      <c r="N9" s="13">
        <f t="shared" si="4"/>
        <v>7036.34</v>
      </c>
      <c r="O9" s="13">
        <f t="shared" si="4"/>
        <v>8629.68</v>
      </c>
      <c r="P9" s="13">
        <f t="shared" si="4"/>
        <v>9433.308416</v>
      </c>
      <c r="Q9" s="13">
        <f t="shared" si="4"/>
        <v>10635.82525</v>
      </c>
      <c r="R9" s="13">
        <f t="shared" si="4"/>
        <v>12333.31049</v>
      </c>
      <c r="S9" s="13">
        <f t="shared" si="4"/>
        <v>14182.16416</v>
      </c>
      <c r="T9" s="13">
        <f t="shared" si="4"/>
        <v>16343.06623</v>
      </c>
      <c r="U9" s="13">
        <f t="shared" si="4"/>
        <v>18778.61673</v>
      </c>
      <c r="V9" s="13">
        <f t="shared" si="4"/>
        <v>21562.89564</v>
      </c>
      <c r="W9" s="13">
        <f t="shared" si="4"/>
        <v>24787.98296</v>
      </c>
      <c r="X9" s="13">
        <f t="shared" si="4"/>
        <v>28443.4787</v>
      </c>
      <c r="Y9" s="13">
        <f t="shared" si="4"/>
        <v>32788.66286</v>
      </c>
      <c r="Z9" s="13">
        <f t="shared" si="4"/>
        <v>37068.55012</v>
      </c>
      <c r="AA9" s="13">
        <f t="shared" si="4"/>
        <v>42776.31738</v>
      </c>
      <c r="AB9" s="13">
        <f t="shared" si="4"/>
        <v>49559.04464</v>
      </c>
      <c r="AC9" s="13">
        <f t="shared" si="4"/>
        <v>57684.2119</v>
      </c>
      <c r="AD9" s="13">
        <f t="shared" si="4"/>
        <v>67652.89917</v>
      </c>
      <c r="AE9" s="13">
        <f t="shared" si="4"/>
        <v>79333.38643</v>
      </c>
      <c r="AF9" s="13">
        <f t="shared" si="4"/>
        <v>92677.95369</v>
      </c>
      <c r="AG9" s="13">
        <f t="shared" si="4"/>
        <v>107792.881</v>
      </c>
      <c r="AH9" s="13">
        <f t="shared" si="4"/>
        <v>124770.4482</v>
      </c>
      <c r="AI9" s="13">
        <f t="shared" si="4"/>
        <v>143828.1355</v>
      </c>
      <c r="AJ9" s="13">
        <f t="shared" si="4"/>
        <v>164892.7027</v>
      </c>
    </row>
    <row r="10"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</row>
    <row r="11">
      <c r="A11" s="15" t="str">
        <f>Kosten!B15</f>
        <v>Produktentwicklung</v>
      </c>
      <c r="C11" s="43">
        <f>Kosten!E15</f>
        <v>-680</v>
      </c>
      <c r="D11" s="43">
        <f>Kosten!F15</f>
        <v>-680</v>
      </c>
      <c r="E11" s="43">
        <f>Kosten!G15</f>
        <v>-680</v>
      </c>
      <c r="F11" s="43">
        <f>Kosten!H15</f>
        <v>-680</v>
      </c>
      <c r="G11" s="43">
        <f>Kosten!I15</f>
        <v>-680</v>
      </c>
      <c r="H11" s="43">
        <f>Kosten!J15</f>
        <v>-680</v>
      </c>
      <c r="I11" s="43">
        <f>Kosten!K15</f>
        <v>-680</v>
      </c>
      <c r="J11" s="43">
        <f>Kosten!L15</f>
        <v>-680</v>
      </c>
      <c r="K11" s="43">
        <f>Kosten!M15</f>
        <v>-680</v>
      </c>
      <c r="L11" s="43">
        <f>Kosten!N15</f>
        <v>-680</v>
      </c>
      <c r="M11" s="43">
        <f>Kosten!O15</f>
        <v>-680</v>
      </c>
      <c r="N11" s="43">
        <f>Kosten!P15</f>
        <v>-680</v>
      </c>
      <c r="O11" s="43">
        <f>Kosten!Q15</f>
        <v>-680</v>
      </c>
      <c r="P11" s="43">
        <f>Kosten!R15</f>
        <v>-680</v>
      </c>
      <c r="Q11" s="43">
        <f>Kosten!S15</f>
        <v>-680</v>
      </c>
      <c r="R11" s="43">
        <f>Kosten!T15</f>
        <v>-680</v>
      </c>
      <c r="S11" s="43">
        <f>Kosten!U15</f>
        <v>-680</v>
      </c>
      <c r="T11" s="43">
        <f>Kosten!V15</f>
        <v>-680</v>
      </c>
      <c r="U11" s="43">
        <f>Kosten!W15</f>
        <v>-680</v>
      </c>
      <c r="V11" s="43">
        <f>Kosten!X15</f>
        <v>-680</v>
      </c>
      <c r="W11" s="43">
        <f>Kosten!Y15</f>
        <v>-680</v>
      </c>
      <c r="X11" s="43">
        <f>Kosten!Z15</f>
        <v>-680</v>
      </c>
      <c r="Y11" s="43">
        <f>Kosten!AA15</f>
        <v>-680</v>
      </c>
      <c r="Z11" s="43">
        <f>Kosten!AB15</f>
        <v>-680</v>
      </c>
      <c r="AA11" s="43">
        <f>Kosten!AC15</f>
        <v>-680</v>
      </c>
      <c r="AB11" s="43">
        <f>Kosten!AD15</f>
        <v>-680</v>
      </c>
      <c r="AC11" s="43">
        <f>Kosten!AE15</f>
        <v>-680</v>
      </c>
      <c r="AD11" s="43">
        <f>Kosten!AF15</f>
        <v>-680</v>
      </c>
      <c r="AE11" s="43">
        <f>Kosten!AG15</f>
        <v>-680</v>
      </c>
      <c r="AF11" s="43">
        <f>Kosten!AH15</f>
        <v>-680</v>
      </c>
      <c r="AG11" s="43">
        <f>Kosten!AI15</f>
        <v>-680</v>
      </c>
      <c r="AH11" s="43">
        <f>Kosten!AJ15</f>
        <v>-680</v>
      </c>
      <c r="AI11" s="43">
        <f>Kosten!AK15</f>
        <v>-680</v>
      </c>
      <c r="AJ11" s="43">
        <f>Kosten!AL15</f>
        <v>-680</v>
      </c>
    </row>
    <row r="12">
      <c r="A12" s="15" t="str">
        <f>Kosten!B21</f>
        <v>IT Infrastruktur</v>
      </c>
      <c r="C12" s="43">
        <f>Kosten!E21</f>
        <v>-203.6</v>
      </c>
      <c r="D12" s="43">
        <f>Kosten!F21</f>
        <v>-203.6</v>
      </c>
      <c r="E12" s="43">
        <f>Kosten!G21</f>
        <v>-203.6</v>
      </c>
      <c r="F12" s="43">
        <f>Kosten!H21</f>
        <v>-203.6</v>
      </c>
      <c r="G12" s="43">
        <f>Kosten!I21</f>
        <v>-223.6</v>
      </c>
      <c r="H12" s="43">
        <f>Kosten!J21</f>
        <v>-323.6</v>
      </c>
      <c r="I12" s="43">
        <f>Kosten!K21</f>
        <v>-323.6</v>
      </c>
      <c r="J12" s="43">
        <f>Kosten!L21</f>
        <v>-323.6</v>
      </c>
      <c r="K12" s="43">
        <f>Kosten!M21</f>
        <v>-323.6</v>
      </c>
      <c r="L12" s="43">
        <f>Kosten!N21</f>
        <v>-323.6</v>
      </c>
      <c r="M12" s="43">
        <f>Kosten!O21</f>
        <v>-323.6</v>
      </c>
      <c r="N12" s="43">
        <f>Kosten!P21</f>
        <v>-323.6</v>
      </c>
      <c r="O12" s="43">
        <f>Kosten!Q21</f>
        <v>-323.6</v>
      </c>
      <c r="P12" s="43">
        <f>Kosten!R21</f>
        <v>-323.6</v>
      </c>
      <c r="Q12" s="43">
        <f>Kosten!S21</f>
        <v>-323.6</v>
      </c>
      <c r="R12" s="43">
        <f>Kosten!T21</f>
        <v>-323.6</v>
      </c>
      <c r="S12" s="43">
        <f>Kosten!U21</f>
        <v>-323.6</v>
      </c>
      <c r="T12" s="43">
        <f>Kosten!V21</f>
        <v>-323.6</v>
      </c>
      <c r="U12" s="43">
        <f>Kosten!W21</f>
        <v>-323.6</v>
      </c>
      <c r="V12" s="43">
        <f>Kosten!X21</f>
        <v>-323.6</v>
      </c>
      <c r="W12" s="43">
        <f>Kosten!Y21</f>
        <v>-323.6</v>
      </c>
      <c r="X12" s="43">
        <f>Kosten!Z21</f>
        <v>-323.6</v>
      </c>
      <c r="Y12" s="43">
        <f>Kosten!AA21</f>
        <v>-323.6</v>
      </c>
      <c r="Z12" s="43">
        <f>Kosten!AB21</f>
        <v>-323.6</v>
      </c>
      <c r="AA12" s="43">
        <f>Kosten!AC21</f>
        <v>-323.6</v>
      </c>
      <c r="AB12" s="43">
        <f>Kosten!AD21</f>
        <v>-323.6</v>
      </c>
      <c r="AC12" s="43">
        <f>Kosten!AE21</f>
        <v>-323.6</v>
      </c>
      <c r="AD12" s="43">
        <f>Kosten!AF21</f>
        <v>-323.6</v>
      </c>
      <c r="AE12" s="43">
        <f>Kosten!AG21</f>
        <v>-323.6</v>
      </c>
      <c r="AF12" s="43">
        <f>Kosten!AH21</f>
        <v>-323.6</v>
      </c>
      <c r="AG12" s="43">
        <f>Kosten!AI21</f>
        <v>-323.6</v>
      </c>
      <c r="AH12" s="43">
        <f>Kosten!AJ21</f>
        <v>-323.6</v>
      </c>
      <c r="AI12" s="43">
        <f>Kosten!AK21</f>
        <v>-323.6</v>
      </c>
      <c r="AJ12" s="43">
        <f>Kosten!AL21</f>
        <v>-323.6</v>
      </c>
    </row>
    <row r="13">
      <c r="A13" s="15" t="str">
        <f>Kosten!A5</f>
        <v>Variable Kosten</v>
      </c>
      <c r="C13" s="43">
        <f>Kosten!E5</f>
        <v>-10.8</v>
      </c>
      <c r="D13" s="43">
        <f>Kosten!F5</f>
        <v>-21.6</v>
      </c>
      <c r="E13" s="43">
        <f>Kosten!G5</f>
        <v>-38.4</v>
      </c>
      <c r="F13" s="43">
        <f>Kosten!H5</f>
        <v>-82</v>
      </c>
      <c r="G13" s="43">
        <f>Kosten!I5</f>
        <v>-219.2</v>
      </c>
      <c r="H13" s="43">
        <f>Kosten!J5</f>
        <v>-362.52</v>
      </c>
      <c r="I13" s="43">
        <f>Kosten!K5</f>
        <v>-637.64</v>
      </c>
      <c r="J13" s="43">
        <f>Kosten!L5</f>
        <v>-911.76</v>
      </c>
      <c r="K13" s="43">
        <f>Kosten!M5</f>
        <v>-1157.8</v>
      </c>
      <c r="L13" s="43">
        <f>Kosten!N5</f>
        <v>-1526.04</v>
      </c>
      <c r="M13" s="43">
        <f>Kosten!O5</f>
        <v>-1903.4</v>
      </c>
      <c r="N13" s="43">
        <f>Kosten!P5</f>
        <v>-2330.16</v>
      </c>
      <c r="O13" s="43">
        <f>Kosten!Q5</f>
        <v>-2796.84</v>
      </c>
      <c r="P13" s="43">
        <f>Kosten!R5</f>
        <v>-3308.92</v>
      </c>
      <c r="Q13" s="43">
        <f>Kosten!S5</f>
        <v>-3871.92</v>
      </c>
      <c r="R13" s="43">
        <f>Kosten!T5</f>
        <v>-4440.52</v>
      </c>
      <c r="S13" s="43">
        <f>Kosten!U5</f>
        <v>-4993.44</v>
      </c>
      <c r="T13" s="43">
        <f>Kosten!V5</f>
        <v>-5613.76</v>
      </c>
      <c r="U13" s="43">
        <f>Kosten!W5</f>
        <v>-6290</v>
      </c>
      <c r="V13" s="43">
        <f>Kosten!X5</f>
        <v>-7019.16</v>
      </c>
      <c r="W13" s="43">
        <f>Kosten!Y5</f>
        <v>-7803.72</v>
      </c>
      <c r="X13" s="43">
        <f>Kosten!Z5</f>
        <v>-8621</v>
      </c>
      <c r="Y13" s="43">
        <f>Kosten!AA5</f>
        <v>-9493.2</v>
      </c>
      <c r="Z13" s="43">
        <f>Kosten!AB5</f>
        <v>-10424.32</v>
      </c>
      <c r="AA13" s="43">
        <f>Kosten!AC5</f>
        <v>-11385.36</v>
      </c>
      <c r="AB13" s="43">
        <f>Kosten!AD5</f>
        <v>-12412.92</v>
      </c>
      <c r="AC13" s="43">
        <f>Kosten!AE5</f>
        <v>-13501.4</v>
      </c>
      <c r="AD13" s="43">
        <f>Kosten!AF5</f>
        <v>-14628.6</v>
      </c>
      <c r="AE13" s="43">
        <f>Kosten!AG5</f>
        <v>-15848.52</v>
      </c>
      <c r="AF13" s="43">
        <f>Kosten!AH5</f>
        <v>-17107.16</v>
      </c>
      <c r="AG13" s="43">
        <f>Kosten!AI5</f>
        <v>-18433.52</v>
      </c>
      <c r="AH13" s="43">
        <f>Kosten!AJ5</f>
        <v>-19834.4</v>
      </c>
      <c r="AI13" s="43">
        <f>Kosten!AK5</f>
        <v>-21306.52</v>
      </c>
      <c r="AJ13" s="43">
        <f>Kosten!AL5</f>
        <v>-22855.16</v>
      </c>
    </row>
    <row r="14">
      <c r="A14" s="15" t="str">
        <f>Kosten!B29</f>
        <v>Administrative Kosten</v>
      </c>
      <c r="C14" s="43">
        <f>Kosten!E29</f>
        <v>-81.9</v>
      </c>
      <c r="D14" s="43">
        <f>Kosten!F29</f>
        <v>-81.9</v>
      </c>
      <c r="E14" s="43">
        <f>Kosten!G29</f>
        <v>-81.9</v>
      </c>
      <c r="F14" s="43">
        <f>Kosten!H29</f>
        <v>-81.9</v>
      </c>
      <c r="G14" s="43">
        <f>Kosten!I29</f>
        <v>-81.9</v>
      </c>
      <c r="H14" s="43">
        <f>Kosten!J29</f>
        <v>-81.9</v>
      </c>
      <c r="I14" s="43">
        <f>Kosten!K29</f>
        <v>-231.9</v>
      </c>
      <c r="J14" s="43">
        <f>Kosten!L29</f>
        <v>-231.9</v>
      </c>
      <c r="K14" s="43">
        <f>Kosten!M29</f>
        <v>-231.9</v>
      </c>
      <c r="L14" s="43">
        <f>Kosten!N29</f>
        <v>-231.9</v>
      </c>
      <c r="M14" s="43">
        <f>Kosten!O29</f>
        <v>-231.9</v>
      </c>
      <c r="N14" s="43">
        <f>Kosten!P29</f>
        <v>-231.9</v>
      </c>
      <c r="O14" s="43">
        <f>Kosten!Q29</f>
        <v>-952.9</v>
      </c>
      <c r="P14" s="43">
        <f>Kosten!R29</f>
        <v>-731.9</v>
      </c>
      <c r="Q14" s="43">
        <f>Kosten!S29</f>
        <v>-231.9</v>
      </c>
      <c r="R14" s="43">
        <f>Kosten!T29</f>
        <v>-231.9</v>
      </c>
      <c r="S14" s="43">
        <f>Kosten!U29</f>
        <v>-231.9</v>
      </c>
      <c r="T14" s="43">
        <f>Kosten!V29</f>
        <v>-231.9</v>
      </c>
      <c r="U14" s="43">
        <f>Kosten!W29</f>
        <v>-231.9</v>
      </c>
      <c r="V14" s="43">
        <f>Kosten!X29</f>
        <v>-231.9</v>
      </c>
      <c r="W14" s="43">
        <f>Kosten!Y29</f>
        <v>-231.9</v>
      </c>
      <c r="X14" s="43">
        <f>Kosten!Z29</f>
        <v>-231.9</v>
      </c>
      <c r="Y14" s="43">
        <f>Kosten!AA29</f>
        <v>-431.9</v>
      </c>
      <c r="Z14" s="43">
        <f>Kosten!AB29</f>
        <v>-331.9</v>
      </c>
      <c r="AA14" s="43">
        <f>Kosten!AC29</f>
        <v>-552.9</v>
      </c>
      <c r="AB14" s="43">
        <f>Kosten!AD29</f>
        <v>-731.9</v>
      </c>
      <c r="AC14" s="43">
        <f>Kosten!AE29</f>
        <v>-231.9</v>
      </c>
      <c r="AD14" s="43">
        <f>Kosten!AF29</f>
        <v>-231.9</v>
      </c>
      <c r="AE14" s="43">
        <f>Kosten!AG29</f>
        <v>-231.9</v>
      </c>
      <c r="AF14" s="43">
        <f>Kosten!AH29</f>
        <v>-231.9</v>
      </c>
      <c r="AG14" s="43">
        <f>Kosten!AI29</f>
        <v>-231.9</v>
      </c>
      <c r="AH14" s="43">
        <f>Kosten!AJ29</f>
        <v>-231.9</v>
      </c>
      <c r="AI14" s="43">
        <f>Kosten!AK29</f>
        <v>-231.9</v>
      </c>
      <c r="AJ14" s="43">
        <f>Kosten!AL29</f>
        <v>-231.9</v>
      </c>
    </row>
    <row r="15">
      <c r="A15" s="18" t="str">
        <f>Kosten!B48</f>
        <v>Marketing Kosten</v>
      </c>
      <c r="C15" s="43">
        <f>Kosten!E48</f>
        <v>-210</v>
      </c>
      <c r="D15" s="43">
        <f>Kosten!F48</f>
        <v>-210</v>
      </c>
      <c r="E15" s="43">
        <f>Kosten!G48</f>
        <v>-210</v>
      </c>
      <c r="F15" s="43">
        <f>Kosten!H48</f>
        <v>-309</v>
      </c>
      <c r="G15" s="43">
        <f>Kosten!I48</f>
        <v>-309</v>
      </c>
      <c r="H15" s="43">
        <f>Kosten!J48</f>
        <v>-309</v>
      </c>
      <c r="I15" s="43">
        <f>Kosten!K48</f>
        <v>-309</v>
      </c>
      <c r="J15" s="43">
        <f>Kosten!L48</f>
        <v>-309</v>
      </c>
      <c r="K15" s="43">
        <f>Kosten!M48</f>
        <v>-309</v>
      </c>
      <c r="L15" s="43">
        <f>Kosten!N48</f>
        <v>-309</v>
      </c>
      <c r="M15" s="43">
        <f>Kosten!O48</f>
        <v>-309</v>
      </c>
      <c r="N15" s="43">
        <f>Kosten!P48</f>
        <v>-309</v>
      </c>
      <c r="O15" s="43">
        <f>Kosten!Q48</f>
        <v>-309</v>
      </c>
      <c r="P15" s="43">
        <f>Kosten!R48</f>
        <v>-309</v>
      </c>
      <c r="Q15" s="43">
        <f>Kosten!S48</f>
        <v>-309</v>
      </c>
      <c r="R15" s="43">
        <f>Kosten!T48</f>
        <v>-309</v>
      </c>
      <c r="S15" s="43">
        <f>Kosten!U48</f>
        <v>-309</v>
      </c>
      <c r="T15" s="43">
        <f>Kosten!V48</f>
        <v>-309</v>
      </c>
      <c r="U15" s="43">
        <f>Kosten!W48</f>
        <v>-309</v>
      </c>
      <c r="V15" s="43">
        <f>Kosten!X48</f>
        <v>-309</v>
      </c>
      <c r="W15" s="43">
        <f>Kosten!Y48</f>
        <v>-309</v>
      </c>
      <c r="X15" s="43">
        <f>Kosten!Z48</f>
        <v>-309</v>
      </c>
      <c r="Y15" s="43">
        <f>Kosten!AA48</f>
        <v>-309</v>
      </c>
      <c r="Z15" s="43">
        <f>Kosten!AB48</f>
        <v>-309</v>
      </c>
      <c r="AA15" s="43">
        <f>Kosten!AC48</f>
        <v>-309</v>
      </c>
      <c r="AB15" s="43">
        <f>Kosten!AD48</f>
        <v>-309</v>
      </c>
      <c r="AC15" s="43">
        <f>Kosten!AE48</f>
        <v>-309</v>
      </c>
      <c r="AD15" s="43">
        <f>Kosten!AF48</f>
        <v>-309</v>
      </c>
      <c r="AE15" s="43">
        <f>Kosten!AG48</f>
        <v>-309</v>
      </c>
      <c r="AF15" s="43">
        <f>Kosten!AH48</f>
        <v>-309</v>
      </c>
      <c r="AG15" s="43">
        <f>Kosten!AI48</f>
        <v>-309</v>
      </c>
      <c r="AH15" s="43">
        <f>Kosten!AJ48</f>
        <v>-309</v>
      </c>
      <c r="AI15" s="43">
        <f>Kosten!AK48</f>
        <v>-309</v>
      </c>
      <c r="AJ15" s="43">
        <f>Kosten!AL48</f>
        <v>-309</v>
      </c>
    </row>
    <row r="16">
      <c r="A16" s="18" t="str">
        <f>Kosten!B39</f>
        <v>Gründungskosten</v>
      </c>
      <c r="C16" s="16">
        <f>Kosten!E39</f>
        <v>-1671</v>
      </c>
      <c r="D16" s="16">
        <f>Kosten!F39</f>
        <v>-500</v>
      </c>
      <c r="E16" s="16">
        <f>Kosten!G39</f>
        <v>0</v>
      </c>
      <c r="F16" s="16">
        <f>Kosten!H39</f>
        <v>0</v>
      </c>
      <c r="G16" s="16">
        <f>Kosten!I39</f>
        <v>0</v>
      </c>
      <c r="H16" s="16">
        <f>Kosten!J39</f>
        <v>0</v>
      </c>
      <c r="I16" s="16">
        <f>Kosten!K39</f>
        <v>0</v>
      </c>
      <c r="J16" s="16">
        <f>Kosten!L39</f>
        <v>-500</v>
      </c>
      <c r="K16" s="16">
        <f>Kosten!M39</f>
        <v>0</v>
      </c>
      <c r="L16" s="16">
        <f>Kosten!N39</f>
        <v>0</v>
      </c>
      <c r="M16" s="16">
        <f>Kosten!O39</f>
        <v>0</v>
      </c>
      <c r="N16" s="16">
        <f>Kosten!P39</f>
        <v>0</v>
      </c>
      <c r="O16" s="16">
        <f>Kosten!Q39</f>
        <v>0</v>
      </c>
      <c r="P16" s="16">
        <f>Kosten!R39</f>
        <v>0</v>
      </c>
      <c r="Q16" s="16">
        <f>Kosten!S39</f>
        <v>0</v>
      </c>
      <c r="R16" s="16">
        <f>Kosten!T39</f>
        <v>0</v>
      </c>
      <c r="S16" s="16">
        <f>Kosten!U39</f>
        <v>0</v>
      </c>
      <c r="T16" s="16">
        <f>Kosten!V39</f>
        <v>0</v>
      </c>
      <c r="U16" s="16">
        <f>Kosten!W39</f>
        <v>0</v>
      </c>
      <c r="V16" s="16">
        <f>Kosten!X39</f>
        <v>0</v>
      </c>
      <c r="W16" s="16">
        <f>Kosten!Y39</f>
        <v>0</v>
      </c>
      <c r="X16" s="16">
        <f>Kosten!Z39</f>
        <v>0</v>
      </c>
      <c r="Y16" s="16">
        <f>Kosten!AA39</f>
        <v>0</v>
      </c>
      <c r="Z16" s="16">
        <f>Kosten!AB39</f>
        <v>0</v>
      </c>
      <c r="AA16" s="16">
        <f>Kosten!AC39</f>
        <v>0</v>
      </c>
      <c r="AB16" s="16">
        <f>Kosten!AD39</f>
        <v>0</v>
      </c>
      <c r="AC16" s="16">
        <f>Kosten!AE39</f>
        <v>0</v>
      </c>
      <c r="AD16" s="16">
        <f>Kosten!AF39</f>
        <v>0</v>
      </c>
      <c r="AE16" s="16">
        <f>Kosten!AG39</f>
        <v>0</v>
      </c>
      <c r="AF16" s="16">
        <f>Kosten!AH39</f>
        <v>0</v>
      </c>
      <c r="AG16" s="16">
        <f>Kosten!AI39</f>
        <v>0</v>
      </c>
      <c r="AH16" s="16">
        <f>Kosten!AJ39</f>
        <v>0</v>
      </c>
      <c r="AI16" s="16">
        <f>Kosten!AK39</f>
        <v>0</v>
      </c>
      <c r="AJ16" s="16">
        <f>Kosten!AL39</f>
        <v>0</v>
      </c>
    </row>
    <row r="17"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</row>
    <row r="18"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</row>
    <row r="19">
      <c r="A19" s="10" t="s">
        <v>158</v>
      </c>
      <c r="B19" s="11"/>
      <c r="C19" s="55">
        <f t="shared" ref="C19:AJ19" si="5">sum(C20)</f>
        <v>0</v>
      </c>
      <c r="D19" s="55">
        <f t="shared" si="5"/>
        <v>0</v>
      </c>
      <c r="E19" s="55">
        <f t="shared" si="5"/>
        <v>0</v>
      </c>
      <c r="F19" s="55">
        <f t="shared" si="5"/>
        <v>0</v>
      </c>
      <c r="G19" s="55">
        <f t="shared" si="5"/>
        <v>0</v>
      </c>
      <c r="H19" s="55">
        <f t="shared" si="5"/>
        <v>0</v>
      </c>
      <c r="I19" s="55">
        <f t="shared" si="5"/>
        <v>0</v>
      </c>
      <c r="J19" s="55">
        <f t="shared" si="5"/>
        <v>0</v>
      </c>
      <c r="K19" s="55">
        <f t="shared" si="5"/>
        <v>0</v>
      </c>
      <c r="L19" s="55">
        <f t="shared" si="5"/>
        <v>0</v>
      </c>
      <c r="M19" s="55">
        <f t="shared" si="5"/>
        <v>0</v>
      </c>
      <c r="N19" s="55">
        <f t="shared" si="5"/>
        <v>0</v>
      </c>
      <c r="O19" s="55">
        <f t="shared" si="5"/>
        <v>0</v>
      </c>
      <c r="P19" s="55">
        <f t="shared" si="5"/>
        <v>0</v>
      </c>
      <c r="Q19" s="55">
        <f t="shared" si="5"/>
        <v>0</v>
      </c>
      <c r="R19" s="55">
        <f t="shared" si="5"/>
        <v>0</v>
      </c>
      <c r="S19" s="55">
        <f t="shared" si="5"/>
        <v>0</v>
      </c>
      <c r="T19" s="55">
        <f t="shared" si="5"/>
        <v>0</v>
      </c>
      <c r="U19" s="55">
        <f t="shared" si="5"/>
        <v>0</v>
      </c>
      <c r="V19" s="55">
        <f t="shared" si="5"/>
        <v>0</v>
      </c>
      <c r="W19" s="55">
        <f t="shared" si="5"/>
        <v>0</v>
      </c>
      <c r="X19" s="55">
        <f t="shared" si="5"/>
        <v>0</v>
      </c>
      <c r="Y19" s="55">
        <f t="shared" si="5"/>
        <v>0</v>
      </c>
      <c r="Z19" s="55">
        <f t="shared" si="5"/>
        <v>0</v>
      </c>
      <c r="AA19" s="55">
        <f t="shared" si="5"/>
        <v>0</v>
      </c>
      <c r="AB19" s="55">
        <f t="shared" si="5"/>
        <v>0</v>
      </c>
      <c r="AC19" s="55">
        <f t="shared" si="5"/>
        <v>0</v>
      </c>
      <c r="AD19" s="55">
        <f t="shared" si="5"/>
        <v>0</v>
      </c>
      <c r="AE19" s="55">
        <f t="shared" si="5"/>
        <v>0</v>
      </c>
      <c r="AF19" s="55">
        <f t="shared" si="5"/>
        <v>0</v>
      </c>
      <c r="AG19" s="55">
        <f t="shared" si="5"/>
        <v>0</v>
      </c>
      <c r="AH19" s="55">
        <f t="shared" si="5"/>
        <v>0</v>
      </c>
      <c r="AI19" s="55">
        <f t="shared" si="5"/>
        <v>0</v>
      </c>
      <c r="AJ19" s="55">
        <f t="shared" si="5"/>
        <v>0</v>
      </c>
    </row>
    <row r="20">
      <c r="A20" s="15" t="s">
        <v>159</v>
      </c>
      <c r="C20" s="57">
        <v>0.0</v>
      </c>
      <c r="D20" s="57">
        <v>0.0</v>
      </c>
      <c r="E20" s="57">
        <v>0.0</v>
      </c>
      <c r="F20" s="57">
        <v>0.0</v>
      </c>
      <c r="G20" s="57">
        <v>0.0</v>
      </c>
      <c r="H20" s="57">
        <v>0.0</v>
      </c>
      <c r="I20" s="57">
        <v>0.0</v>
      </c>
      <c r="J20" s="57">
        <v>0.0</v>
      </c>
      <c r="K20" s="57">
        <v>0.0</v>
      </c>
      <c r="L20" s="57">
        <v>0.0</v>
      </c>
      <c r="M20" s="57">
        <v>0.0</v>
      </c>
      <c r="N20" s="57">
        <v>0.0</v>
      </c>
      <c r="O20" s="57">
        <v>0.0</v>
      </c>
      <c r="P20" s="57">
        <v>0.0</v>
      </c>
      <c r="Q20" s="57">
        <v>0.0</v>
      </c>
      <c r="R20" s="57">
        <v>0.0</v>
      </c>
      <c r="S20" s="57">
        <v>0.0</v>
      </c>
      <c r="T20" s="57">
        <v>0.0</v>
      </c>
      <c r="U20" s="57">
        <v>0.0</v>
      </c>
      <c r="V20" s="57">
        <v>0.0</v>
      </c>
      <c r="W20" s="57">
        <v>0.0</v>
      </c>
      <c r="X20" s="57">
        <v>0.0</v>
      </c>
      <c r="Y20" s="57">
        <v>0.0</v>
      </c>
      <c r="Z20" s="57">
        <v>0.0</v>
      </c>
      <c r="AA20" s="57">
        <v>0.0</v>
      </c>
      <c r="AB20" s="57">
        <v>0.0</v>
      </c>
      <c r="AC20" s="57">
        <v>0.0</v>
      </c>
      <c r="AD20" s="57">
        <v>0.0</v>
      </c>
      <c r="AE20" s="57">
        <v>0.0</v>
      </c>
      <c r="AF20" s="57">
        <v>0.0</v>
      </c>
      <c r="AG20" s="57">
        <v>0.0</v>
      </c>
      <c r="AH20" s="57">
        <v>0.0</v>
      </c>
      <c r="AI20" s="57">
        <v>0.0</v>
      </c>
      <c r="AJ20" s="57">
        <v>0.0</v>
      </c>
    </row>
    <row r="21"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>
      <c r="A22" s="10" t="s">
        <v>160</v>
      </c>
      <c r="B22" s="11"/>
      <c r="C22" s="13">
        <f t="shared" ref="C22:AJ22" si="6">C9+C11+C12+C13+C14+C19+C15+C16</f>
        <v>1157.7</v>
      </c>
      <c r="D22" s="13">
        <f t="shared" si="6"/>
        <v>1490.6</v>
      </c>
      <c r="E22" s="13">
        <f t="shared" si="6"/>
        <v>2321.7</v>
      </c>
      <c r="F22" s="13">
        <f t="shared" si="6"/>
        <v>3040.2</v>
      </c>
      <c r="G22" s="13">
        <f t="shared" si="6"/>
        <v>3861.5</v>
      </c>
      <c r="H22" s="13">
        <f t="shared" si="6"/>
        <v>3776.48</v>
      </c>
      <c r="I22" s="13">
        <f t="shared" si="6"/>
        <v>3631.34</v>
      </c>
      <c r="J22" s="13">
        <f t="shared" si="6"/>
        <v>3177.08</v>
      </c>
      <c r="K22" s="13">
        <f t="shared" si="6"/>
        <v>2633.78</v>
      </c>
      <c r="L22" s="13">
        <f t="shared" si="6"/>
        <v>2377.24</v>
      </c>
      <c r="M22" s="13">
        <f t="shared" si="6"/>
        <v>2575.34</v>
      </c>
      <c r="N22" s="13">
        <f t="shared" si="6"/>
        <v>3161.68</v>
      </c>
      <c r="O22" s="13">
        <f t="shared" si="6"/>
        <v>3567.34</v>
      </c>
      <c r="P22" s="13">
        <f t="shared" si="6"/>
        <v>4079.888416</v>
      </c>
      <c r="Q22" s="13">
        <f t="shared" si="6"/>
        <v>5219.405247</v>
      </c>
      <c r="R22" s="13">
        <f t="shared" si="6"/>
        <v>6348.290494</v>
      </c>
      <c r="S22" s="13">
        <f t="shared" si="6"/>
        <v>7644.224156</v>
      </c>
      <c r="T22" s="13">
        <f t="shared" si="6"/>
        <v>9184.806234</v>
      </c>
      <c r="U22" s="13">
        <f t="shared" si="6"/>
        <v>10944.11673</v>
      </c>
      <c r="V22" s="13">
        <f t="shared" si="6"/>
        <v>12999.23564</v>
      </c>
      <c r="W22" s="13">
        <f t="shared" si="6"/>
        <v>15439.76296</v>
      </c>
      <c r="X22" s="13">
        <f t="shared" si="6"/>
        <v>18277.9787</v>
      </c>
      <c r="Y22" s="13">
        <f t="shared" si="6"/>
        <v>21550.96286</v>
      </c>
      <c r="Z22" s="13">
        <f t="shared" si="6"/>
        <v>24999.73012</v>
      </c>
      <c r="AA22" s="13">
        <f t="shared" si="6"/>
        <v>29525.45738</v>
      </c>
      <c r="AB22" s="13">
        <f t="shared" si="6"/>
        <v>35101.62464</v>
      </c>
      <c r="AC22" s="13">
        <f t="shared" si="6"/>
        <v>42638.3119</v>
      </c>
      <c r="AD22" s="13">
        <f t="shared" si="6"/>
        <v>51479.79917</v>
      </c>
      <c r="AE22" s="13">
        <f t="shared" si="6"/>
        <v>61940.36643</v>
      </c>
      <c r="AF22" s="13">
        <f t="shared" si="6"/>
        <v>74026.29369</v>
      </c>
      <c r="AG22" s="13">
        <f t="shared" si="6"/>
        <v>87814.86095</v>
      </c>
      <c r="AH22" s="13">
        <f t="shared" si="6"/>
        <v>103391.5482</v>
      </c>
      <c r="AI22" s="13">
        <f t="shared" si="6"/>
        <v>120977.1155</v>
      </c>
      <c r="AJ22" s="13">
        <f t="shared" si="6"/>
        <v>140493.0427</v>
      </c>
    </row>
    <row r="23">
      <c r="C23" s="16"/>
      <c r="D23" s="16"/>
      <c r="E23" s="16"/>
      <c r="F23" s="16"/>
      <c r="G23" s="16"/>
      <c r="H23" s="16"/>
      <c r="I23" s="16"/>
      <c r="J23" s="16"/>
      <c r="K23" s="16"/>
      <c r="L23" s="16"/>
      <c r="N23" s="16"/>
      <c r="O23" s="43" t="s">
        <v>161</v>
      </c>
      <c r="P23" s="16"/>
      <c r="Q23" s="16"/>
      <c r="R23" s="16"/>
      <c r="S23" s="43" t="s">
        <v>162</v>
      </c>
      <c r="T23" s="16">
        <f>SUM(O24:X24)</f>
        <v>-32561.73714</v>
      </c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</row>
    <row r="24">
      <c r="A24" s="15" t="s">
        <v>163</v>
      </c>
      <c r="C24" s="43">
        <f>-'Private Finanzen'!$D49</f>
        <v>0</v>
      </c>
      <c r="D24" s="43">
        <f>-'Private Finanzen'!$D49</f>
        <v>0</v>
      </c>
      <c r="E24" s="43">
        <f>-'Private Finanzen'!$D49</f>
        <v>0</v>
      </c>
      <c r="F24" s="43">
        <f>-'Private Finanzen'!$D49</f>
        <v>0</v>
      </c>
      <c r="G24" s="43">
        <f>-'Private Finanzen'!$D49</f>
        <v>0</v>
      </c>
      <c r="H24" s="43">
        <f>-'Private Finanzen'!$D49</f>
        <v>0</v>
      </c>
      <c r="I24" s="43">
        <f>-'Private Finanzen'!$D49</f>
        <v>0</v>
      </c>
      <c r="J24" s="43">
        <f>-'Private Finanzen'!$D49</f>
        <v>0</v>
      </c>
      <c r="K24" s="43">
        <f>-'Private Finanzen'!$D49</f>
        <v>0</v>
      </c>
      <c r="L24" s="43">
        <f>-'Private Finanzen'!$D49</f>
        <v>0</v>
      </c>
      <c r="M24" s="62">
        <f>-'Private Finanzen'!$E49*12*C37</f>
        <v>0</v>
      </c>
      <c r="N24" s="62">
        <f>-'Private Finanzen'!$E49*12*D37</f>
        <v>0</v>
      </c>
      <c r="O24" s="62">
        <f>-'Private Finanzen'!$E49*12*E37</f>
        <v>-592.0315844</v>
      </c>
      <c r="P24" s="62">
        <f>-'Private Finanzen'!$E49*12*F37</f>
        <v>-1184.063169</v>
      </c>
      <c r="Q24" s="62">
        <f>-'Private Finanzen'!$E49*12*G37</f>
        <v>-1776.094753</v>
      </c>
      <c r="R24" s="62">
        <f>-'Private Finanzen'!$E49*12*H37</f>
        <v>-2368.126338</v>
      </c>
      <c r="S24" s="62">
        <f>-'Private Finanzen'!$E49*12*I37</f>
        <v>-2960.157922</v>
      </c>
      <c r="T24" s="62">
        <f>-'Private Finanzen'!$E49*12*J37</f>
        <v>-3552.189506</v>
      </c>
      <c r="U24" s="62">
        <f>-'Private Finanzen'!$E49*12*K37</f>
        <v>-4144.221091</v>
      </c>
      <c r="V24" s="62">
        <f>-'Private Finanzen'!$E49*12*L37</f>
        <v>-4736.252675</v>
      </c>
      <c r="W24" s="62">
        <f>-'Private Finanzen'!$E49*12*M37</f>
        <v>-5328.28426</v>
      </c>
      <c r="X24" s="62">
        <f>-'Private Finanzen'!$E49*12*N37</f>
        <v>-5920.315844</v>
      </c>
      <c r="Y24" s="43">
        <f>-'Private Finanzen'!$F49</f>
        <v>-6980.412738</v>
      </c>
      <c r="Z24" s="43">
        <f>-'Private Finanzen'!$F49</f>
        <v>-6980.412738</v>
      </c>
      <c r="AA24" s="43">
        <f>-'Private Finanzen'!$F49</f>
        <v>-6980.412738</v>
      </c>
      <c r="AB24" s="43">
        <f>-'Private Finanzen'!$F49</f>
        <v>-6980.412738</v>
      </c>
      <c r="AC24" s="43">
        <f>-'Private Finanzen'!$F49</f>
        <v>-6980.412738</v>
      </c>
      <c r="AD24" s="43">
        <f>-'Private Finanzen'!$F49</f>
        <v>-6980.412738</v>
      </c>
      <c r="AE24" s="43">
        <f>-'Private Finanzen'!$F49</f>
        <v>-6980.412738</v>
      </c>
      <c r="AF24" s="43">
        <f>-'Private Finanzen'!$F49</f>
        <v>-6980.412738</v>
      </c>
      <c r="AG24" s="43">
        <f>-'Private Finanzen'!$F49</f>
        <v>-6980.412738</v>
      </c>
      <c r="AH24" s="43">
        <f>-'Private Finanzen'!$F49</f>
        <v>-6980.412738</v>
      </c>
      <c r="AI24" s="43">
        <f>-'Private Finanzen'!$F49</f>
        <v>-6980.412738</v>
      </c>
      <c r="AJ24" s="43">
        <f>-'Private Finanzen'!$F49</f>
        <v>-6980.412738</v>
      </c>
    </row>
    <row r="25"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</row>
    <row r="26">
      <c r="A26" s="10" t="s">
        <v>164</v>
      </c>
      <c r="B26" s="11"/>
      <c r="C26" s="13">
        <f t="shared" ref="C26:L26" si="7">C22-C24</f>
        <v>1157.7</v>
      </c>
      <c r="D26" s="13">
        <f t="shared" si="7"/>
        <v>1490.6</v>
      </c>
      <c r="E26" s="13">
        <f t="shared" si="7"/>
        <v>2321.7</v>
      </c>
      <c r="F26" s="13">
        <f t="shared" si="7"/>
        <v>3040.2</v>
      </c>
      <c r="G26" s="13">
        <f t="shared" si="7"/>
        <v>3861.5</v>
      </c>
      <c r="H26" s="13">
        <f t="shared" si="7"/>
        <v>3776.48</v>
      </c>
      <c r="I26" s="13">
        <f t="shared" si="7"/>
        <v>3631.34</v>
      </c>
      <c r="J26" s="13">
        <f t="shared" si="7"/>
        <v>3177.08</v>
      </c>
      <c r="K26" s="13">
        <f t="shared" si="7"/>
        <v>2633.78</v>
      </c>
      <c r="L26" s="13">
        <f t="shared" si="7"/>
        <v>2377.24</v>
      </c>
      <c r="M26" s="13">
        <f t="shared" ref="M26:AJ26" si="8">M22+M24</f>
        <v>2575.34</v>
      </c>
      <c r="N26" s="13">
        <f t="shared" si="8"/>
        <v>3161.68</v>
      </c>
      <c r="O26" s="13">
        <f t="shared" si="8"/>
        <v>2975.308416</v>
      </c>
      <c r="P26" s="13">
        <f t="shared" si="8"/>
        <v>2895.825247</v>
      </c>
      <c r="Q26" s="13">
        <f t="shared" si="8"/>
        <v>3443.310494</v>
      </c>
      <c r="R26" s="13">
        <f t="shared" si="8"/>
        <v>3980.164156</v>
      </c>
      <c r="S26" s="13">
        <f t="shared" si="8"/>
        <v>4684.066234</v>
      </c>
      <c r="T26" s="13">
        <f t="shared" si="8"/>
        <v>5632.616727</v>
      </c>
      <c r="U26" s="13">
        <f t="shared" si="8"/>
        <v>6799.895636</v>
      </c>
      <c r="V26" s="13">
        <f t="shared" si="8"/>
        <v>8262.982961</v>
      </c>
      <c r="W26" s="13">
        <f t="shared" si="8"/>
        <v>10111.4787</v>
      </c>
      <c r="X26" s="13">
        <f t="shared" si="8"/>
        <v>12357.66286</v>
      </c>
      <c r="Y26" s="13">
        <f t="shared" si="8"/>
        <v>14570.55012</v>
      </c>
      <c r="Z26" s="13">
        <f t="shared" si="8"/>
        <v>18019.31738</v>
      </c>
      <c r="AA26" s="13">
        <f t="shared" si="8"/>
        <v>22545.04464</v>
      </c>
      <c r="AB26" s="13">
        <f t="shared" si="8"/>
        <v>28121.2119</v>
      </c>
      <c r="AC26" s="13">
        <f t="shared" si="8"/>
        <v>35657.89917</v>
      </c>
      <c r="AD26" s="13">
        <f t="shared" si="8"/>
        <v>44499.38643</v>
      </c>
      <c r="AE26" s="13">
        <f t="shared" si="8"/>
        <v>54959.95369</v>
      </c>
      <c r="AF26" s="13">
        <f t="shared" si="8"/>
        <v>67045.88095</v>
      </c>
      <c r="AG26" s="13">
        <f t="shared" si="8"/>
        <v>80834.44821</v>
      </c>
      <c r="AH26" s="13">
        <f t="shared" si="8"/>
        <v>96411.13548</v>
      </c>
      <c r="AI26" s="13">
        <f t="shared" si="8"/>
        <v>113996.7027</v>
      </c>
      <c r="AJ26" s="13">
        <f t="shared" si="8"/>
        <v>133512.63</v>
      </c>
    </row>
    <row r="27"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</row>
    <row r="28"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</row>
    <row r="29"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</row>
    <row r="30"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</row>
    <row r="31"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</row>
    <row r="32"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</row>
    <row r="33">
      <c r="A33" s="63" t="s">
        <v>165</v>
      </c>
      <c r="B33" s="64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</row>
    <row r="34">
      <c r="A34" s="64"/>
      <c r="B34" s="64"/>
      <c r="C34" s="66">
        <v>1.0</v>
      </c>
      <c r="D34" s="66">
        <v>2.0</v>
      </c>
      <c r="E34" s="66">
        <v>3.0</v>
      </c>
      <c r="F34" s="66">
        <v>4.0</v>
      </c>
      <c r="G34" s="66">
        <v>5.0</v>
      </c>
      <c r="H34" s="66">
        <v>6.0</v>
      </c>
      <c r="I34" s="66">
        <v>7.0</v>
      </c>
      <c r="J34" s="66">
        <v>8.0</v>
      </c>
      <c r="K34" s="66">
        <v>9.0</v>
      </c>
      <c r="L34" s="66">
        <v>10.0</v>
      </c>
      <c r="M34" s="66">
        <v>11.0</v>
      </c>
      <c r="N34" s="66">
        <v>12.0</v>
      </c>
      <c r="O34" s="65"/>
      <c r="P34" s="67" t="s">
        <v>166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</row>
    <row r="35">
      <c r="A35" s="63" t="s">
        <v>167</v>
      </c>
      <c r="B35" s="63">
        <v>12.0</v>
      </c>
      <c r="C35" s="68">
        <f t="shared" ref="C35:N35" si="9">C34/SUM($C34:$N34)</f>
        <v>0.01282051282</v>
      </c>
      <c r="D35" s="68">
        <f t="shared" si="9"/>
        <v>0.02564102564</v>
      </c>
      <c r="E35" s="68">
        <f t="shared" si="9"/>
        <v>0.03846153846</v>
      </c>
      <c r="F35" s="68">
        <f t="shared" si="9"/>
        <v>0.05128205128</v>
      </c>
      <c r="G35" s="68">
        <f t="shared" si="9"/>
        <v>0.0641025641</v>
      </c>
      <c r="H35" s="68">
        <f t="shared" si="9"/>
        <v>0.07692307692</v>
      </c>
      <c r="I35" s="68">
        <f t="shared" si="9"/>
        <v>0.08974358974</v>
      </c>
      <c r="J35" s="68">
        <f t="shared" si="9"/>
        <v>0.1025641026</v>
      </c>
      <c r="K35" s="68">
        <f t="shared" si="9"/>
        <v>0.1153846154</v>
      </c>
      <c r="L35" s="68">
        <f t="shared" si="9"/>
        <v>0.1282051282</v>
      </c>
      <c r="M35" s="68">
        <f t="shared" si="9"/>
        <v>0.141025641</v>
      </c>
      <c r="N35" s="68">
        <f t="shared" si="9"/>
        <v>0.1538461538</v>
      </c>
      <c r="O35" s="65"/>
      <c r="P35" s="68">
        <f>SUM(C35:N35)</f>
        <v>1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</row>
    <row r="36">
      <c r="A36" s="63" t="s">
        <v>168</v>
      </c>
      <c r="B36" s="63">
        <v>11.0</v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7"/>
      <c r="P36" s="69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>
      <c r="A37" s="64"/>
      <c r="B37" s="63">
        <v>10.0</v>
      </c>
      <c r="C37" s="63">
        <v>0.0</v>
      </c>
      <c r="D37" s="63">
        <v>0.0</v>
      </c>
      <c r="E37" s="68">
        <f t="shared" ref="E37:N37" si="10">C34/SUM($C34:$L34)</f>
        <v>0.01818181818</v>
      </c>
      <c r="F37" s="68">
        <f t="shared" si="10"/>
        <v>0.03636363636</v>
      </c>
      <c r="G37" s="68">
        <f t="shared" si="10"/>
        <v>0.05454545455</v>
      </c>
      <c r="H37" s="68">
        <f t="shared" si="10"/>
        <v>0.07272727273</v>
      </c>
      <c r="I37" s="68">
        <f t="shared" si="10"/>
        <v>0.09090909091</v>
      </c>
      <c r="J37" s="68">
        <f t="shared" si="10"/>
        <v>0.1090909091</v>
      </c>
      <c r="K37" s="68">
        <f t="shared" si="10"/>
        <v>0.1272727273</v>
      </c>
      <c r="L37" s="68">
        <f t="shared" si="10"/>
        <v>0.1454545455</v>
      </c>
      <c r="M37" s="68">
        <f t="shared" si="10"/>
        <v>0.1636363636</v>
      </c>
      <c r="N37" s="68">
        <f t="shared" si="10"/>
        <v>0.1818181818</v>
      </c>
      <c r="O37" s="65"/>
      <c r="P37" s="68">
        <f>SUM(E37:N37)</f>
        <v>1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</row>
    <row r="38">
      <c r="A38" s="64"/>
      <c r="B38" s="63">
        <v>9.0</v>
      </c>
      <c r="C38" s="68"/>
      <c r="D38" s="68"/>
      <c r="E38" s="68"/>
      <c r="F38" s="68"/>
      <c r="G38" s="68"/>
      <c r="H38" s="68"/>
      <c r="I38" s="68"/>
      <c r="J38" s="68"/>
      <c r="K38" s="68"/>
      <c r="L38" s="69"/>
      <c r="M38" s="68"/>
      <c r="N38" s="68"/>
      <c r="O38" s="70"/>
      <c r="P38" s="68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</row>
    <row r="39">
      <c r="A39" s="64"/>
      <c r="B39" s="63">
        <v>8.0</v>
      </c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70"/>
      <c r="P39" s="68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</row>
    <row r="40">
      <c r="A40" s="64"/>
      <c r="B40" s="64"/>
      <c r="C40" s="67"/>
      <c r="D40" s="67"/>
      <c r="E40" s="65"/>
      <c r="F40" s="67"/>
      <c r="G40" s="66"/>
      <c r="H40" s="66"/>
      <c r="I40" s="66"/>
      <c r="J40" s="66" t="s">
        <v>169</v>
      </c>
      <c r="K40" s="66"/>
      <c r="L40" s="66"/>
      <c r="M40" s="66"/>
      <c r="N40" s="66"/>
      <c r="O40" s="66"/>
      <c r="P40" s="66"/>
      <c r="Q40" s="71"/>
      <c r="R40" s="71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</row>
    <row r="41">
      <c r="A41" s="64"/>
      <c r="B41" s="64"/>
      <c r="C41" s="65">
        <f>-'Private Finanzen'!$E43*12*C35</f>
        <v>0</v>
      </c>
      <c r="D41" s="65">
        <f>-'Private Finanzen'!$E43*12*D35</f>
        <v>0</v>
      </c>
      <c r="E41" s="65">
        <f>-'Private Finanzen'!$E43*12*E35</f>
        <v>0</v>
      </c>
      <c r="F41" s="65">
        <f>-'Private Finanzen'!$E43*12*F35</f>
        <v>0</v>
      </c>
      <c r="G41" s="65">
        <f>-'Private Finanzen'!$E43*12*G35</f>
        <v>0</v>
      </c>
      <c r="H41" s="65">
        <f>-'Private Finanzen'!$E43*12*H35</f>
        <v>0</v>
      </c>
      <c r="I41" s="65">
        <f>-'Private Finanzen'!$E43*12*I35</f>
        <v>0</v>
      </c>
      <c r="J41" s="65">
        <f>-'Private Finanzen'!$E43*12*J35</f>
        <v>0</v>
      </c>
      <c r="K41" s="65">
        <f>-'Private Finanzen'!$E43*12*K35</f>
        <v>0</v>
      </c>
      <c r="L41" s="65">
        <f>-'Private Finanzen'!$E43*12*L35</f>
        <v>0</v>
      </c>
      <c r="M41" s="65">
        <f>-'Private Finanzen'!$E43*12*M35</f>
        <v>0</v>
      </c>
      <c r="N41" s="65">
        <f>-'Private Finanzen'!$E43*12*N35</f>
        <v>0</v>
      </c>
      <c r="O41" s="70"/>
      <c r="P41" s="70"/>
      <c r="Q41" s="72"/>
      <c r="R41" s="72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</row>
    <row r="42">
      <c r="C42" s="16">
        <f>-'Private Finanzen'!$E43*12/78*MONTH(M1)</f>
        <v>0</v>
      </c>
      <c r="D42" s="16"/>
      <c r="E42" s="16"/>
      <c r="F42" s="16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</row>
    <row r="43">
      <c r="C43" s="16"/>
      <c r="D43" s="16"/>
      <c r="E43" s="16"/>
      <c r="F43" s="16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</row>
    <row r="44"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</row>
    <row r="45"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</row>
    <row r="46"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</row>
    <row r="47"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</row>
    <row r="48"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</row>
    <row r="49"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</row>
    <row r="50"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</row>
    <row r="51"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</row>
    <row r="52"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</row>
    <row r="53"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</row>
    <row r="54"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</row>
    <row r="55"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</row>
    <row r="56"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</row>
    <row r="57"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</row>
    <row r="58"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</row>
    <row r="59"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</row>
    <row r="60"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</row>
    <row r="61"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</row>
    <row r="62"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</row>
    <row r="63"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</row>
    <row r="64"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</row>
    <row r="65"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</row>
    <row r="66"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</row>
    <row r="67"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</row>
    <row r="68"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</row>
    <row r="69"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</row>
    <row r="70"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</row>
    <row r="71"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</row>
    <row r="72"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</row>
    <row r="73"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</row>
    <row r="74"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</row>
    <row r="75"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</row>
    <row r="76"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</row>
    <row r="77"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</row>
    <row r="78"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</row>
    <row r="79"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</row>
    <row r="80"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</row>
    <row r="81"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</row>
    <row r="82"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</row>
    <row r="83"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</row>
    <row r="84"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</row>
    <row r="85"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</row>
    <row r="86"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</row>
    <row r="87"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</row>
    <row r="88"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</row>
    <row r="89"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</row>
    <row r="90"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</row>
    <row r="91"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</row>
    <row r="92"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</row>
    <row r="93"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</row>
    <row r="94"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</row>
    <row r="95"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</row>
    <row r="96"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</row>
    <row r="97"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</row>
    <row r="98"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</row>
    <row r="99"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</row>
    <row r="100"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</row>
    <row r="101"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</row>
    <row r="102"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</row>
    <row r="103"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</row>
    <row r="104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</row>
    <row r="10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</row>
    <row r="106"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</row>
    <row r="107"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</row>
    <row r="108"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</row>
    <row r="109"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</row>
    <row r="110"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</row>
    <row r="111"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</row>
    <row r="112"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</row>
    <row r="113"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</row>
    <row r="114"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</row>
    <row r="115"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</row>
    <row r="116"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</row>
    <row r="117"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</row>
    <row r="118"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</row>
    <row r="119"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</row>
    <row r="120"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</row>
    <row r="121"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</row>
    <row r="122"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</row>
    <row r="123"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</row>
    <row r="124"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</row>
    <row r="125"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</row>
    <row r="126"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</row>
    <row r="127"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</row>
    <row r="128"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</row>
    <row r="129"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</row>
    <row r="130"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</row>
    <row r="131"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</row>
    <row r="132"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</row>
    <row r="133"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</row>
    <row r="134"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</row>
    <row r="135"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</row>
    <row r="136"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</row>
    <row r="137"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</row>
    <row r="138"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</row>
    <row r="139"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</row>
    <row r="140"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</row>
    <row r="141"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</row>
    <row r="142"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</row>
    <row r="143"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</row>
    <row r="144"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</row>
    <row r="145"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</row>
    <row r="146"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</row>
    <row r="147"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</row>
    <row r="148"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</row>
    <row r="149"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</row>
    <row r="150"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</row>
    <row r="151"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</row>
    <row r="152"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</row>
    <row r="153"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</row>
    <row r="154"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</row>
    <row r="155"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</row>
    <row r="156"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</row>
    <row r="157"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</row>
    <row r="158"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</row>
    <row r="159"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</row>
    <row r="160"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</row>
    <row r="161"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</row>
    <row r="162"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</row>
    <row r="163"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</row>
    <row r="164"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</row>
    <row r="165"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</row>
    <row r="166"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</row>
    <row r="167"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</row>
    <row r="168"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</row>
    <row r="169"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</row>
    <row r="170"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</row>
    <row r="171"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</row>
    <row r="172"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</row>
    <row r="173"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</row>
    <row r="174"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</row>
    <row r="175"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</row>
    <row r="176"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</row>
    <row r="177"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</row>
    <row r="178"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</row>
    <row r="179"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</row>
    <row r="180"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</row>
    <row r="181"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</row>
    <row r="182"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</row>
    <row r="183"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</row>
    <row r="184"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</row>
    <row r="185"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</row>
    <row r="186"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</row>
    <row r="187"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</row>
    <row r="188"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</row>
    <row r="189"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</row>
    <row r="190"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</row>
    <row r="191"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</row>
    <row r="192"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</row>
    <row r="193"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</row>
    <row r="194"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</row>
    <row r="195"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</row>
    <row r="196"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  <row r="207"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</row>
    <row r="208"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</row>
    <row r="209"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</row>
    <row r="210"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</row>
    <row r="211"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</row>
    <row r="212"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</row>
    <row r="213"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</row>
    <row r="214"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</row>
    <row r="215"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</row>
    <row r="216"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</row>
    <row r="217"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</row>
    <row r="218"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</row>
    <row r="219"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</row>
    <row r="220"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</row>
    <row r="221"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</row>
    <row r="222"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</row>
    <row r="223"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</row>
    <row r="224"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</row>
    <row r="225"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</row>
    <row r="226"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</row>
    <row r="227"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</row>
    <row r="228"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</row>
    <row r="229"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</row>
    <row r="230"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</row>
    <row r="231"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</row>
    <row r="232"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</row>
    <row r="233"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</row>
    <row r="234"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</row>
    <row r="235"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</row>
    <row r="236"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</row>
    <row r="237"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</row>
    <row r="238"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</row>
    <row r="239"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</row>
    <row r="240"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</row>
    <row r="241"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</row>
    <row r="242"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</row>
    <row r="243"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</row>
    <row r="244"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</row>
    <row r="245"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</row>
    <row r="246"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</row>
    <row r="247"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</row>
    <row r="248"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</row>
    <row r="249"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</row>
    <row r="250"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</row>
    <row r="251"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</row>
    <row r="252"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</row>
    <row r="253"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</row>
    <row r="254"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</row>
    <row r="255"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</row>
    <row r="256"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</row>
    <row r="257"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</row>
    <row r="258"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</row>
    <row r="259"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</row>
    <row r="260"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</row>
    <row r="261"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</row>
    <row r="262"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</row>
    <row r="263"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</row>
    <row r="264"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</row>
    <row r="265"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</row>
    <row r="266"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</row>
    <row r="267"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</row>
    <row r="268"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</row>
    <row r="269"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</row>
    <row r="270"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</row>
    <row r="271"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</row>
    <row r="272"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</row>
    <row r="273"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</row>
    <row r="274"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</row>
    <row r="275"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</row>
    <row r="276"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</row>
    <row r="277"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</row>
    <row r="278"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</row>
    <row r="279"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</row>
    <row r="280"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</row>
    <row r="281"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</row>
    <row r="282"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</row>
    <row r="283"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</row>
    <row r="284"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</row>
    <row r="285"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</row>
    <row r="286"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</row>
    <row r="287"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</row>
    <row r="288"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</row>
    <row r="289"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</row>
    <row r="290"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</row>
    <row r="291"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</row>
    <row r="292"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</row>
    <row r="293"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</row>
    <row r="294"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</row>
    <row r="295"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</row>
    <row r="296"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</row>
    <row r="297"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</row>
    <row r="298"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</row>
    <row r="299"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</row>
    <row r="300"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</row>
    <row r="301"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</row>
    <row r="302"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</row>
    <row r="303"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</row>
    <row r="304"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</row>
    <row r="305"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</row>
    <row r="306"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</row>
    <row r="307"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</row>
    <row r="308"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</row>
    <row r="309"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</row>
    <row r="310"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</row>
    <row r="311"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</row>
    <row r="312"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</row>
    <row r="313"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</row>
    <row r="314"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</row>
    <row r="315"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</row>
    <row r="316"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</row>
    <row r="317"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</row>
    <row r="318"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</row>
    <row r="319"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</row>
    <row r="320"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</row>
    <row r="321"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</row>
    <row r="322"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</row>
    <row r="323"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</row>
    <row r="324"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</row>
    <row r="325"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</row>
    <row r="326"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</row>
    <row r="327"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</row>
    <row r="328"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</row>
    <row r="329"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</row>
    <row r="330"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</row>
    <row r="331"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</row>
    <row r="332"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</row>
    <row r="333"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</row>
    <row r="334"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</row>
    <row r="335"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</row>
    <row r="336"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</row>
    <row r="337"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</row>
    <row r="338"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</row>
    <row r="339"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</row>
    <row r="340"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</row>
    <row r="341"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</row>
    <row r="342"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</row>
    <row r="343"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</row>
    <row r="344"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</row>
    <row r="345"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</row>
    <row r="346"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</row>
    <row r="347"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</row>
    <row r="348"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</row>
    <row r="349"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</row>
    <row r="350"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</row>
    <row r="351"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</row>
    <row r="352"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</row>
    <row r="353"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</row>
    <row r="354"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</row>
    <row r="355"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</row>
    <row r="356"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</row>
    <row r="357"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</row>
    <row r="358"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</row>
    <row r="359"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</row>
    <row r="360"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</row>
    <row r="361"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</row>
    <row r="362"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</row>
    <row r="363"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</row>
    <row r="364"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</row>
    <row r="365"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</row>
    <row r="366"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</row>
    <row r="367"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</row>
    <row r="368"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</row>
    <row r="369"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</row>
    <row r="370"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</row>
    <row r="371"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</row>
    <row r="372"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</row>
    <row r="373"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</row>
    <row r="374"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</row>
    <row r="375"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</row>
    <row r="376"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</row>
    <row r="377"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</row>
    <row r="378"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</row>
    <row r="379"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</row>
    <row r="380"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</row>
    <row r="381"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</row>
    <row r="382"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</row>
    <row r="383"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</row>
    <row r="384"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</row>
    <row r="385"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</row>
    <row r="386"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</row>
    <row r="387"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</row>
    <row r="388"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</row>
    <row r="389"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</row>
    <row r="390"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</row>
    <row r="391"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</row>
    <row r="392"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</row>
    <row r="393"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</row>
    <row r="394"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</row>
    <row r="395"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</row>
    <row r="396"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</row>
    <row r="397"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</row>
    <row r="398"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</row>
    <row r="399"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</row>
    <row r="400"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</row>
    <row r="401"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</row>
    <row r="402"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</row>
    <row r="403"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</row>
    <row r="404"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</row>
    <row r="405"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</row>
    <row r="406"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</row>
    <row r="407"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</row>
    <row r="408"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</row>
    <row r="409"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</row>
    <row r="410"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</row>
    <row r="411"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</row>
    <row r="412"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</row>
    <row r="413"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</row>
    <row r="414"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</row>
    <row r="415"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</row>
    <row r="416"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</row>
    <row r="417"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</row>
    <row r="418"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</row>
    <row r="419"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</row>
    <row r="420"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</row>
    <row r="421"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</row>
    <row r="422"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</row>
    <row r="423"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</row>
    <row r="424"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</row>
    <row r="425"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</row>
    <row r="426"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</row>
    <row r="427"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</row>
    <row r="428"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</row>
    <row r="429"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</row>
    <row r="430"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</row>
    <row r="431"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</row>
    <row r="432"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</row>
    <row r="433"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</row>
    <row r="434"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</row>
    <row r="435"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</row>
    <row r="436"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</row>
    <row r="437"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</row>
    <row r="438"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</row>
    <row r="439"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</row>
    <row r="440"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</row>
    <row r="441"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</row>
    <row r="442"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</row>
    <row r="443"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</row>
    <row r="444"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</row>
    <row r="445"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</row>
    <row r="446"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</row>
    <row r="447"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</row>
    <row r="448"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</row>
    <row r="449"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</row>
    <row r="450"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</row>
    <row r="451"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</row>
    <row r="452"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</row>
    <row r="453"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</row>
    <row r="454"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</row>
    <row r="455"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</row>
    <row r="456"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</row>
    <row r="457"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</row>
    <row r="458"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</row>
    <row r="459"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</row>
    <row r="460"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</row>
    <row r="461"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</row>
    <row r="462"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</row>
    <row r="463"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</row>
    <row r="464"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</row>
    <row r="465"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</row>
    <row r="466"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</row>
    <row r="467"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</row>
    <row r="468"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</row>
    <row r="469"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</row>
    <row r="470"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</row>
    <row r="471"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</row>
    <row r="472"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</row>
    <row r="473"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</row>
    <row r="474"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</row>
    <row r="475"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</row>
    <row r="476"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</row>
    <row r="477"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</row>
    <row r="478"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</row>
    <row r="479"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</row>
    <row r="480"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</row>
    <row r="481"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</row>
    <row r="482"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</row>
    <row r="483"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</row>
    <row r="484"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</row>
    <row r="485"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</row>
    <row r="486"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</row>
    <row r="487"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</row>
    <row r="488"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</row>
    <row r="489"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</row>
    <row r="490"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</row>
    <row r="491"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</row>
    <row r="492"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</row>
    <row r="493"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</row>
    <row r="494"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</row>
    <row r="495"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</row>
    <row r="496"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</row>
    <row r="497"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</row>
    <row r="498"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</row>
    <row r="499"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</row>
    <row r="500"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</row>
    <row r="501"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</row>
    <row r="502"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</row>
    <row r="503"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</row>
    <row r="504"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</row>
    <row r="505"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</row>
    <row r="506"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</row>
    <row r="507"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</row>
    <row r="508"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</row>
    <row r="509"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</row>
    <row r="510"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</row>
    <row r="511"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</row>
    <row r="512"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</row>
    <row r="513"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</row>
    <row r="514"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</row>
    <row r="515"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</row>
    <row r="516"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</row>
    <row r="517"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</row>
    <row r="518"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</row>
    <row r="519"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</row>
    <row r="520"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</row>
    <row r="521"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</row>
    <row r="522"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</row>
    <row r="523"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</row>
    <row r="524"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</row>
    <row r="525"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</row>
    <row r="526"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</row>
    <row r="527"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</row>
    <row r="528"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</row>
    <row r="529"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</row>
    <row r="530"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</row>
    <row r="531"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</row>
    <row r="532"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</row>
    <row r="533"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</row>
    <row r="534"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</row>
    <row r="535"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</row>
    <row r="536"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</row>
    <row r="537"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</row>
    <row r="538"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</row>
    <row r="539"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</row>
    <row r="540"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</row>
    <row r="541"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</row>
    <row r="542"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</row>
    <row r="543"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</row>
    <row r="544"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</row>
    <row r="545"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</row>
    <row r="546"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</row>
    <row r="547"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</row>
    <row r="548"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</row>
    <row r="549"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</row>
    <row r="550"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</row>
    <row r="551"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</row>
    <row r="552"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</row>
    <row r="553"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</row>
    <row r="554"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</row>
    <row r="555"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</row>
    <row r="556"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</row>
    <row r="557"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</row>
    <row r="558"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</row>
    <row r="559"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</row>
    <row r="560"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</row>
    <row r="561"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</row>
    <row r="562"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</row>
    <row r="563"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</row>
    <row r="564"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</row>
    <row r="565"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</row>
    <row r="566"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</row>
    <row r="567"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</row>
    <row r="568"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</row>
    <row r="569"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</row>
    <row r="570"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</row>
    <row r="571"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</row>
    <row r="572"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</row>
    <row r="573"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</row>
    <row r="574"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</row>
    <row r="575"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</row>
    <row r="576"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</row>
    <row r="577"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</row>
    <row r="578"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</row>
    <row r="579"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</row>
    <row r="580"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</row>
    <row r="581"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</row>
    <row r="582"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</row>
    <row r="583"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</row>
    <row r="584"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</row>
    <row r="585"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</row>
    <row r="586"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</row>
    <row r="587"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</row>
    <row r="588"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</row>
    <row r="589"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</row>
    <row r="590"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</row>
    <row r="591"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</row>
    <row r="592"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</row>
    <row r="593"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</row>
    <row r="594"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</row>
    <row r="595"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</row>
    <row r="596"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</row>
    <row r="597"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</row>
    <row r="598"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</row>
    <row r="599"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</row>
    <row r="600"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</row>
    <row r="601"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</row>
    <row r="602"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</row>
    <row r="603"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</row>
    <row r="604"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</row>
    <row r="605"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</row>
    <row r="606"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</row>
    <row r="607"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</row>
    <row r="608"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</row>
    <row r="609"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</row>
    <row r="610"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</row>
    <row r="611"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</row>
    <row r="612"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</row>
    <row r="613"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</row>
    <row r="614"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</row>
    <row r="615"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</row>
    <row r="616"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</row>
    <row r="617"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</row>
    <row r="618"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</row>
    <row r="619"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</row>
    <row r="620"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</row>
    <row r="621"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</row>
    <row r="622"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</row>
    <row r="623"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</row>
    <row r="624"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</row>
    <row r="625"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</row>
    <row r="626"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</row>
    <row r="627"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</row>
    <row r="628"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</row>
    <row r="629"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</row>
    <row r="630"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</row>
    <row r="631"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</row>
    <row r="632"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</row>
    <row r="633"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</row>
    <row r="634"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</row>
    <row r="635"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</row>
    <row r="636"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</row>
    <row r="637"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</row>
    <row r="638"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</row>
    <row r="639"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</row>
    <row r="640"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</row>
    <row r="641"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</row>
    <row r="642"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</row>
    <row r="643"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</row>
    <row r="644"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</row>
    <row r="645"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</row>
    <row r="646"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</row>
    <row r="647"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</row>
    <row r="648"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</row>
    <row r="649"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</row>
    <row r="650"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</row>
    <row r="651"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</row>
    <row r="652"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</row>
    <row r="653"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</row>
    <row r="654"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</row>
    <row r="655"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</row>
    <row r="656"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</row>
    <row r="657"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</row>
    <row r="658"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</row>
    <row r="659"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</row>
    <row r="660"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</row>
    <row r="661"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</row>
    <row r="662"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</row>
    <row r="663"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</row>
    <row r="664"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</row>
    <row r="665"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</row>
    <row r="666"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</row>
    <row r="667"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</row>
    <row r="668"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</row>
    <row r="669"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</row>
    <row r="670"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</row>
    <row r="671"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</row>
    <row r="672"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</row>
    <row r="673"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</row>
    <row r="674"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</row>
    <row r="675"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</row>
    <row r="676"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</row>
    <row r="677"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</row>
    <row r="678"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</row>
    <row r="679"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</row>
    <row r="680"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</row>
    <row r="681"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</row>
    <row r="682"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</row>
    <row r="683"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</row>
    <row r="684"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</row>
    <row r="685"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</row>
    <row r="686"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</row>
    <row r="687"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</row>
    <row r="688"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</row>
    <row r="689"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</row>
    <row r="690"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</row>
    <row r="691"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</row>
    <row r="692"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</row>
    <row r="693"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</row>
    <row r="694"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</row>
    <row r="695"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</row>
    <row r="696"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</row>
    <row r="697"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</row>
    <row r="698"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</row>
    <row r="699"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</row>
    <row r="700"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</row>
    <row r="701"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</row>
    <row r="702"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</row>
    <row r="703"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</row>
    <row r="704"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</row>
    <row r="705"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</row>
    <row r="706"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</row>
    <row r="707"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</row>
    <row r="708"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</row>
    <row r="709"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</row>
    <row r="710"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</row>
    <row r="711"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</row>
    <row r="712"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</row>
    <row r="713"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</row>
    <row r="714"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</row>
    <row r="715"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</row>
    <row r="716"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</row>
    <row r="717"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</row>
    <row r="718"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</row>
    <row r="719"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</row>
    <row r="720"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</row>
    <row r="721"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</row>
    <row r="722"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</row>
    <row r="723"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</row>
    <row r="724"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</row>
    <row r="725"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</row>
    <row r="726"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</row>
    <row r="727"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</row>
    <row r="728"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</row>
    <row r="729"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</row>
    <row r="730"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</row>
    <row r="731"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</row>
    <row r="732"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</row>
    <row r="733"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</row>
    <row r="734"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</row>
    <row r="735"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</row>
    <row r="736"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</row>
    <row r="737"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</row>
    <row r="738"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</row>
    <row r="739"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</row>
    <row r="740"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</row>
    <row r="741"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</row>
    <row r="742"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</row>
    <row r="743"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</row>
    <row r="744"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</row>
    <row r="745"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</row>
    <row r="746"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</row>
    <row r="747"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</row>
    <row r="748"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</row>
    <row r="749"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</row>
    <row r="750"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</row>
    <row r="751"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</row>
    <row r="752"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</row>
    <row r="753"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</row>
    <row r="754"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</row>
    <row r="755"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</row>
    <row r="756"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</row>
    <row r="757"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</row>
    <row r="758"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</row>
    <row r="759"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</row>
    <row r="760"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</row>
    <row r="761"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</row>
    <row r="762"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</row>
    <row r="763"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</row>
    <row r="764"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</row>
    <row r="765"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</row>
    <row r="766"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</row>
    <row r="767"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</row>
    <row r="768"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</row>
    <row r="769"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</row>
    <row r="770"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</row>
    <row r="771"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</row>
    <row r="772"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</row>
    <row r="773"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</row>
    <row r="774"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</row>
    <row r="775"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</row>
    <row r="776"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</row>
    <row r="777"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</row>
    <row r="778"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</row>
    <row r="779"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</row>
    <row r="780"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</row>
    <row r="781"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</row>
    <row r="782"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</row>
    <row r="783"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</row>
    <row r="784"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</row>
    <row r="785"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</row>
    <row r="786"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</row>
    <row r="787"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</row>
    <row r="788"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</row>
    <row r="789"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</row>
    <row r="790"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</row>
    <row r="791"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</row>
    <row r="792"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</row>
    <row r="793"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</row>
    <row r="794"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</row>
    <row r="795"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</row>
    <row r="796"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</row>
    <row r="797"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</row>
    <row r="798"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</row>
    <row r="799"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</row>
    <row r="800"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</row>
    <row r="801"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</row>
    <row r="802"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</row>
    <row r="803"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</row>
    <row r="804"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</row>
    <row r="805"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</row>
    <row r="806"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</row>
    <row r="807"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</row>
    <row r="808"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</row>
    <row r="809"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</row>
    <row r="810"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</row>
    <row r="811"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</row>
    <row r="812"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</row>
    <row r="813"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</row>
    <row r="814"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</row>
    <row r="815"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</row>
    <row r="816"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</row>
    <row r="817"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</row>
    <row r="818"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</row>
    <row r="819"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</row>
    <row r="820"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</row>
    <row r="821"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</row>
    <row r="822"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</row>
    <row r="823"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</row>
    <row r="824"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</row>
    <row r="825"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</row>
    <row r="826"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</row>
    <row r="827"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</row>
    <row r="828"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</row>
    <row r="829"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</row>
    <row r="830"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</row>
    <row r="831"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</row>
    <row r="832"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</row>
    <row r="833"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</row>
    <row r="834"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</row>
    <row r="835"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</row>
    <row r="836"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</row>
    <row r="837"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</row>
    <row r="838"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</row>
    <row r="839"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</row>
    <row r="840"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</row>
    <row r="841"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</row>
    <row r="842"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</row>
    <row r="843"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</row>
    <row r="844"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</row>
    <row r="845"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</row>
    <row r="846"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</row>
    <row r="847"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</row>
    <row r="848"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</row>
    <row r="849"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</row>
    <row r="850"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</row>
    <row r="851"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</row>
    <row r="852"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</row>
    <row r="853"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</row>
    <row r="854"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</row>
    <row r="855"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</row>
    <row r="856"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</row>
    <row r="857"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</row>
    <row r="858"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</row>
    <row r="859"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</row>
    <row r="860"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</row>
    <row r="861"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</row>
    <row r="862"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</row>
    <row r="863"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</row>
    <row r="864"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</row>
    <row r="865"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</row>
    <row r="866"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</row>
    <row r="867"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</row>
    <row r="868"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</row>
    <row r="869"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</row>
    <row r="870"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</row>
    <row r="871"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</row>
    <row r="872"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</row>
    <row r="873"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</row>
    <row r="874"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</row>
    <row r="875"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</row>
    <row r="876"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</row>
    <row r="877"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</row>
    <row r="878"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</row>
    <row r="879"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</row>
    <row r="880"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</row>
    <row r="881"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</row>
    <row r="882"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</row>
    <row r="883"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</row>
    <row r="884"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</row>
    <row r="885"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</row>
    <row r="886"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</row>
    <row r="887"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</row>
    <row r="888"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</row>
    <row r="889"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</row>
    <row r="890"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</row>
    <row r="891"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</row>
    <row r="892"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</row>
    <row r="893"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</row>
    <row r="894"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</row>
    <row r="895"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</row>
    <row r="896"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</row>
    <row r="897"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</row>
    <row r="898"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</row>
    <row r="899"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</row>
    <row r="900"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</row>
    <row r="901"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</row>
    <row r="902"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</row>
    <row r="903"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</row>
    <row r="904"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</row>
    <row r="905"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</row>
    <row r="906"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</row>
    <row r="907"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</row>
    <row r="908"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</row>
    <row r="909"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</row>
    <row r="910"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</row>
    <row r="911"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</row>
    <row r="912"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</row>
    <row r="913"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</row>
    <row r="914"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</row>
    <row r="915"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</row>
    <row r="916"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</row>
    <row r="917"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</row>
    <row r="918"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</row>
    <row r="919"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</row>
    <row r="920"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</row>
    <row r="921"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</row>
    <row r="922"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</row>
    <row r="923"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</row>
    <row r="924"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</row>
    <row r="925"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</row>
    <row r="926"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</row>
    <row r="927"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</row>
    <row r="928"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</row>
    <row r="929"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</row>
    <row r="930"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</row>
    <row r="931"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</row>
    <row r="932"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</row>
    <row r="933"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</row>
    <row r="934"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</row>
    <row r="935"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</row>
    <row r="936"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</row>
    <row r="937"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</row>
    <row r="938"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</row>
    <row r="939"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</row>
    <row r="940"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</row>
    <row r="941"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</row>
    <row r="942"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</row>
    <row r="943"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</row>
    <row r="944"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</row>
    <row r="945"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</row>
    <row r="946"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</row>
    <row r="947"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</row>
    <row r="948"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</row>
    <row r="949"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</row>
    <row r="950"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</row>
    <row r="951"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</row>
    <row r="952"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</row>
    <row r="953"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</row>
    <row r="954"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</row>
    <row r="955"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</row>
    <row r="956"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</row>
    <row r="957"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</row>
    <row r="958"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</row>
    <row r="959"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</row>
    <row r="960"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</row>
    <row r="961"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</row>
    <row r="962"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</row>
    <row r="963"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</row>
    <row r="964"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</row>
    <row r="965"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</row>
    <row r="966"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</row>
    <row r="967"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</row>
    <row r="968"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</row>
    <row r="969"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</row>
    <row r="970"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</row>
    <row r="971"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</row>
    <row r="972"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</row>
    <row r="973"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</row>
    <row r="974"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</row>
    <row r="975"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</row>
    <row r="976"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</row>
    <row r="977"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</row>
    <row r="978"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</row>
    <row r="979"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</row>
    <row r="980"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</row>
    <row r="981"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</row>
    <row r="982"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</row>
    <row r="983"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</row>
    <row r="984"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</row>
    <row r="985"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</row>
    <row r="986"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</row>
    <row r="987"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</row>
    <row r="988"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</row>
    <row r="989"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</row>
    <row r="990"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</row>
    <row r="991"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</row>
    <row r="992"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</row>
    <row r="993"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</row>
    <row r="994"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</row>
    <row r="995"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</row>
    <row r="996"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</row>
    <row r="997"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</row>
  </sheetData>
  <conditionalFormatting sqref="C26:AJ26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C22:AJ22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8.13"/>
    <col customWidth="1" min="2" max="2" width="19.13"/>
    <col customWidth="1" min="3" max="19" width="7.63"/>
    <col customWidth="1" min="20" max="36" width="8.5"/>
  </cols>
  <sheetData>
    <row r="1">
      <c r="C1" s="2">
        <v>46112.0</v>
      </c>
      <c r="D1" s="4">
        <f t="shared" ref="D1:AJ1" si="1">EOMONTH(C1,1)</f>
        <v>46142</v>
      </c>
      <c r="E1" s="4">
        <f t="shared" si="1"/>
        <v>46173</v>
      </c>
      <c r="F1" s="4">
        <f t="shared" si="1"/>
        <v>46203</v>
      </c>
      <c r="G1" s="4">
        <f t="shared" si="1"/>
        <v>46234</v>
      </c>
      <c r="H1" s="4">
        <f t="shared" si="1"/>
        <v>46265</v>
      </c>
      <c r="I1" s="4">
        <f t="shared" si="1"/>
        <v>46295</v>
      </c>
      <c r="J1" s="4">
        <f t="shared" si="1"/>
        <v>46326</v>
      </c>
      <c r="K1" s="4">
        <f t="shared" si="1"/>
        <v>46356</v>
      </c>
      <c r="L1" s="4">
        <f t="shared" si="1"/>
        <v>46387</v>
      </c>
      <c r="M1" s="4">
        <f t="shared" si="1"/>
        <v>46418</v>
      </c>
      <c r="N1" s="4">
        <f t="shared" si="1"/>
        <v>46446</v>
      </c>
      <c r="O1" s="4">
        <f t="shared" si="1"/>
        <v>46477</v>
      </c>
      <c r="P1" s="4">
        <f t="shared" si="1"/>
        <v>46507</v>
      </c>
      <c r="Q1" s="4">
        <f t="shared" si="1"/>
        <v>46538</v>
      </c>
      <c r="R1" s="4">
        <f t="shared" si="1"/>
        <v>46568</v>
      </c>
      <c r="S1" s="4">
        <f t="shared" si="1"/>
        <v>46599</v>
      </c>
      <c r="T1" s="4">
        <f t="shared" si="1"/>
        <v>46630</v>
      </c>
      <c r="U1" s="4">
        <f t="shared" si="1"/>
        <v>46660</v>
      </c>
      <c r="V1" s="4">
        <f t="shared" si="1"/>
        <v>46691</v>
      </c>
      <c r="W1" s="4">
        <f t="shared" si="1"/>
        <v>46721</v>
      </c>
      <c r="X1" s="4">
        <f t="shared" si="1"/>
        <v>46752</v>
      </c>
      <c r="Y1" s="4">
        <f t="shared" si="1"/>
        <v>46783</v>
      </c>
      <c r="Z1" s="4">
        <f t="shared" si="1"/>
        <v>46812</v>
      </c>
      <c r="AA1" s="4">
        <f t="shared" si="1"/>
        <v>46843</v>
      </c>
      <c r="AB1" s="4">
        <f t="shared" si="1"/>
        <v>46873</v>
      </c>
      <c r="AC1" s="4">
        <f t="shared" si="1"/>
        <v>46904</v>
      </c>
      <c r="AD1" s="4">
        <f t="shared" si="1"/>
        <v>46934</v>
      </c>
      <c r="AE1" s="4">
        <f t="shared" si="1"/>
        <v>46965</v>
      </c>
      <c r="AF1" s="4">
        <f t="shared" si="1"/>
        <v>46996</v>
      </c>
      <c r="AG1" s="4">
        <f t="shared" si="1"/>
        <v>47026</v>
      </c>
      <c r="AH1" s="4">
        <f t="shared" si="1"/>
        <v>47057</v>
      </c>
      <c r="AI1" s="4">
        <f t="shared" si="1"/>
        <v>47087</v>
      </c>
      <c r="AJ1" s="4">
        <f t="shared" si="1"/>
        <v>47118</v>
      </c>
    </row>
    <row r="2"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</row>
    <row r="3"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</row>
    <row r="4">
      <c r="A4" s="10" t="s">
        <v>170</v>
      </c>
      <c r="B4" s="11"/>
      <c r="C4" s="55">
        <f>Umsatz!D3</f>
        <v>15</v>
      </c>
      <c r="D4" s="55">
        <f>Umsatz!E3</f>
        <v>30</v>
      </c>
      <c r="E4" s="55">
        <f>Umsatz!F3</f>
        <v>45</v>
      </c>
      <c r="F4" s="55">
        <f>Umsatz!G3</f>
        <v>75</v>
      </c>
      <c r="G4" s="55">
        <f>Umsatz!H3</f>
        <v>335</v>
      </c>
      <c r="H4" s="55">
        <f>Umsatz!I3</f>
        <v>523.5</v>
      </c>
      <c r="I4" s="55">
        <f>Umsatz!J3</f>
        <v>902</v>
      </c>
      <c r="J4" s="55">
        <f>Umsatz!K3</f>
        <v>1380.5</v>
      </c>
      <c r="K4" s="55">
        <f>Umsatz!L3</f>
        <v>1902.5</v>
      </c>
      <c r="L4" s="55">
        <f>Umsatz!M3</f>
        <v>2584.5</v>
      </c>
      <c r="M4" s="55">
        <f>Umsatz!N3</f>
        <v>3295</v>
      </c>
      <c r="N4" s="55">
        <f>Umsatz!O3</f>
        <v>4150.5</v>
      </c>
      <c r="O4" s="55">
        <f>Umsatz!P3</f>
        <v>5049.5</v>
      </c>
      <c r="P4" s="55">
        <f>Umsatz!Q3</f>
        <v>6093.5</v>
      </c>
      <c r="Q4" s="55">
        <f>Umsatz!R3</f>
        <v>7281</v>
      </c>
      <c r="R4" s="55">
        <f>Umsatz!S3</f>
        <v>8498.5</v>
      </c>
      <c r="S4" s="55">
        <f>Umsatz!T3</f>
        <v>9729.5</v>
      </c>
      <c r="T4" s="55">
        <f>Umsatz!U3</f>
        <v>11105.5</v>
      </c>
      <c r="U4" s="55">
        <f>Umsatz!V3</f>
        <v>12525</v>
      </c>
      <c r="V4" s="55">
        <f>Umsatz!W3</f>
        <v>14088</v>
      </c>
      <c r="W4" s="55">
        <f>Umsatz!X3</f>
        <v>15796</v>
      </c>
      <c r="X4" s="55">
        <f>Umsatz!Y3</f>
        <v>17562.5</v>
      </c>
      <c r="Y4" s="55">
        <f>Umsatz!Z3</f>
        <v>19472.5</v>
      </c>
      <c r="Z4" s="55">
        <f>Umsatz!AA3</f>
        <v>21526</v>
      </c>
      <c r="AA4" s="55">
        <f>Umsatz!AB3</f>
        <v>23623</v>
      </c>
      <c r="AB4" s="55">
        <f>Umsatz!AC3</f>
        <v>25893.5</v>
      </c>
      <c r="AC4" s="55">
        <f>Umsatz!AD3</f>
        <v>28307.5</v>
      </c>
      <c r="AD4" s="55">
        <f>Umsatz!AE3</f>
        <v>30780</v>
      </c>
      <c r="AE4" s="55">
        <f>Umsatz!AF3</f>
        <v>33511</v>
      </c>
      <c r="AF4" s="55">
        <f>Umsatz!AG3</f>
        <v>36300.5</v>
      </c>
      <c r="AG4" s="55">
        <f>Umsatz!AH3</f>
        <v>39248.5</v>
      </c>
      <c r="AH4" s="55">
        <f>Umsatz!AI3</f>
        <v>42370</v>
      </c>
      <c r="AI4" s="55">
        <f>Umsatz!AJ3</f>
        <v>45648.5</v>
      </c>
      <c r="AJ4" s="55">
        <f>Umsatz!AK3</f>
        <v>49100.5</v>
      </c>
    </row>
    <row r="5"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</row>
    <row r="6">
      <c r="A6" s="15" t="s">
        <v>12</v>
      </c>
      <c r="C6" s="16">
        <f>Kosten!E5</f>
        <v>-10.8</v>
      </c>
      <c r="D6" s="16">
        <f>Kosten!F5</f>
        <v>-21.6</v>
      </c>
      <c r="E6" s="16">
        <f>Kosten!G5</f>
        <v>-38.4</v>
      </c>
      <c r="F6" s="16">
        <f>Kosten!H5</f>
        <v>-82</v>
      </c>
      <c r="G6" s="16">
        <f>Kosten!I5</f>
        <v>-219.2</v>
      </c>
      <c r="H6" s="16">
        <f>Kosten!J5</f>
        <v>-362.52</v>
      </c>
      <c r="I6" s="16">
        <f>Kosten!K5</f>
        <v>-637.64</v>
      </c>
      <c r="J6" s="16">
        <f>Kosten!L5</f>
        <v>-911.76</v>
      </c>
      <c r="K6" s="16">
        <f>Kosten!M5</f>
        <v>-1157.8</v>
      </c>
      <c r="L6" s="16">
        <f>Kosten!N5</f>
        <v>-1526.04</v>
      </c>
      <c r="M6" s="16">
        <f>Kosten!O5</f>
        <v>-1903.4</v>
      </c>
      <c r="N6" s="16">
        <f>Kosten!P5</f>
        <v>-2330.16</v>
      </c>
      <c r="O6" s="16">
        <f>Kosten!Q5</f>
        <v>-2796.84</v>
      </c>
      <c r="P6" s="16">
        <f>Kosten!R5</f>
        <v>-3308.92</v>
      </c>
      <c r="Q6" s="16">
        <f>Kosten!S5</f>
        <v>-3871.92</v>
      </c>
      <c r="R6" s="16">
        <f>Kosten!T5</f>
        <v>-4440.52</v>
      </c>
      <c r="S6" s="16">
        <f>Kosten!U5</f>
        <v>-4993.44</v>
      </c>
      <c r="T6" s="16">
        <f>Kosten!V5</f>
        <v>-5613.76</v>
      </c>
      <c r="U6" s="16">
        <f>Kosten!W5</f>
        <v>-6290</v>
      </c>
      <c r="V6" s="16">
        <f>Kosten!X5</f>
        <v>-7019.16</v>
      </c>
      <c r="W6" s="16">
        <f>Kosten!Y5</f>
        <v>-7803.72</v>
      </c>
      <c r="X6" s="16">
        <f>Kosten!Z5</f>
        <v>-8621</v>
      </c>
      <c r="Y6" s="16">
        <f>Kosten!AA5</f>
        <v>-9493.2</v>
      </c>
      <c r="Z6" s="16">
        <f>Kosten!AB5</f>
        <v>-10424.32</v>
      </c>
      <c r="AA6" s="16">
        <f>Kosten!AC5</f>
        <v>-11385.36</v>
      </c>
      <c r="AB6" s="16">
        <f>Kosten!AD5</f>
        <v>-12412.92</v>
      </c>
      <c r="AC6" s="16">
        <f>Kosten!AE5</f>
        <v>-13501.4</v>
      </c>
      <c r="AD6" s="16">
        <f>Kosten!AF5</f>
        <v>-14628.6</v>
      </c>
      <c r="AE6" s="16">
        <f>Kosten!AG5</f>
        <v>-15848.52</v>
      </c>
      <c r="AF6" s="16">
        <f>Kosten!AH5</f>
        <v>-17107.16</v>
      </c>
      <c r="AG6" s="16">
        <f>Kosten!AI5</f>
        <v>-18433.52</v>
      </c>
      <c r="AH6" s="16">
        <f>Kosten!AJ5</f>
        <v>-19834.4</v>
      </c>
      <c r="AI6" s="16">
        <f>Kosten!AK5</f>
        <v>-21306.52</v>
      </c>
      <c r="AJ6" s="16">
        <f>Kosten!AL5</f>
        <v>-22855.16</v>
      </c>
    </row>
    <row r="7"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</row>
    <row r="8">
      <c r="A8" s="10" t="s">
        <v>171</v>
      </c>
      <c r="B8" s="11"/>
      <c r="C8" s="55">
        <f t="shared" ref="C8:AJ8" si="2">C4+C6</f>
        <v>4.2</v>
      </c>
      <c r="D8" s="55">
        <f t="shared" si="2"/>
        <v>8.4</v>
      </c>
      <c r="E8" s="55">
        <f t="shared" si="2"/>
        <v>6.6</v>
      </c>
      <c r="F8" s="55">
        <f t="shared" si="2"/>
        <v>-7</v>
      </c>
      <c r="G8" s="55">
        <f t="shared" si="2"/>
        <v>115.8</v>
      </c>
      <c r="H8" s="55">
        <f t="shared" si="2"/>
        <v>160.98</v>
      </c>
      <c r="I8" s="55">
        <f t="shared" si="2"/>
        <v>264.36</v>
      </c>
      <c r="J8" s="55">
        <f t="shared" si="2"/>
        <v>468.74</v>
      </c>
      <c r="K8" s="55">
        <f t="shared" si="2"/>
        <v>744.7</v>
      </c>
      <c r="L8" s="55">
        <f t="shared" si="2"/>
        <v>1058.46</v>
      </c>
      <c r="M8" s="55">
        <f t="shared" si="2"/>
        <v>1391.6</v>
      </c>
      <c r="N8" s="55">
        <f t="shared" si="2"/>
        <v>1820.34</v>
      </c>
      <c r="O8" s="55">
        <f t="shared" si="2"/>
        <v>2252.66</v>
      </c>
      <c r="P8" s="55">
        <f t="shared" si="2"/>
        <v>2784.58</v>
      </c>
      <c r="Q8" s="55">
        <f t="shared" si="2"/>
        <v>3409.08</v>
      </c>
      <c r="R8" s="55">
        <f t="shared" si="2"/>
        <v>4057.98</v>
      </c>
      <c r="S8" s="55">
        <f t="shared" si="2"/>
        <v>4736.06</v>
      </c>
      <c r="T8" s="55">
        <f t="shared" si="2"/>
        <v>5491.74</v>
      </c>
      <c r="U8" s="55">
        <f t="shared" si="2"/>
        <v>6235</v>
      </c>
      <c r="V8" s="55">
        <f t="shared" si="2"/>
        <v>7068.84</v>
      </c>
      <c r="W8" s="55">
        <f t="shared" si="2"/>
        <v>7992.28</v>
      </c>
      <c r="X8" s="55">
        <f t="shared" si="2"/>
        <v>8941.5</v>
      </c>
      <c r="Y8" s="55">
        <f t="shared" si="2"/>
        <v>9979.3</v>
      </c>
      <c r="Z8" s="55">
        <f t="shared" si="2"/>
        <v>11101.68</v>
      </c>
      <c r="AA8" s="55">
        <f t="shared" si="2"/>
        <v>12237.64</v>
      </c>
      <c r="AB8" s="55">
        <f t="shared" si="2"/>
        <v>13480.58</v>
      </c>
      <c r="AC8" s="55">
        <f t="shared" si="2"/>
        <v>14806.1</v>
      </c>
      <c r="AD8" s="55">
        <f t="shared" si="2"/>
        <v>16151.4</v>
      </c>
      <c r="AE8" s="55">
        <f t="shared" si="2"/>
        <v>17662.48</v>
      </c>
      <c r="AF8" s="55">
        <f t="shared" si="2"/>
        <v>19193.34</v>
      </c>
      <c r="AG8" s="55">
        <f t="shared" si="2"/>
        <v>20814.98</v>
      </c>
      <c r="AH8" s="55">
        <f t="shared" si="2"/>
        <v>22535.6</v>
      </c>
      <c r="AI8" s="55">
        <f t="shared" si="2"/>
        <v>24341.98</v>
      </c>
      <c r="AJ8" s="55">
        <f t="shared" si="2"/>
        <v>26245.34</v>
      </c>
    </row>
    <row r="9"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</row>
    <row r="10">
      <c r="A10" s="15" t="s">
        <v>172</v>
      </c>
      <c r="C10" s="43">
        <f>Kosten!E13</f>
        <v>-2846.5</v>
      </c>
      <c r="D10" s="43">
        <f>Kosten!F13</f>
        <v>-1675.5</v>
      </c>
      <c r="E10" s="43">
        <f>Kosten!G13</f>
        <v>-1175.5</v>
      </c>
      <c r="F10" s="43">
        <f>Kosten!H13</f>
        <v>-1274.5</v>
      </c>
      <c r="G10" s="43">
        <f>Kosten!I13</f>
        <v>-1294.5</v>
      </c>
      <c r="H10" s="43">
        <f>Kosten!J13</f>
        <v>-1394.5</v>
      </c>
      <c r="I10" s="43">
        <f>Kosten!K13</f>
        <v>-1544.5</v>
      </c>
      <c r="J10" s="43">
        <f>Kosten!L13</f>
        <v>-2044.5</v>
      </c>
      <c r="K10" s="43">
        <f>Kosten!M13</f>
        <v>-1544.5</v>
      </c>
      <c r="L10" s="43">
        <f>Kosten!N13</f>
        <v>-1544.5</v>
      </c>
      <c r="M10" s="43">
        <f>Kosten!O13</f>
        <v>-1544.5</v>
      </c>
      <c r="N10" s="43">
        <f>Kosten!P13</f>
        <v>-1544.5</v>
      </c>
      <c r="O10" s="43">
        <f>Kosten!Q13</f>
        <v>-2265.5</v>
      </c>
      <c r="P10" s="43">
        <f>Kosten!R13</f>
        <v>-2044.5</v>
      </c>
      <c r="Q10" s="43">
        <f>Kosten!S13</f>
        <v>-1544.5</v>
      </c>
      <c r="R10" s="43">
        <f>Kosten!T13</f>
        <v>-1544.5</v>
      </c>
      <c r="S10" s="43">
        <f>Kosten!U13</f>
        <v>-1544.5</v>
      </c>
      <c r="T10" s="43">
        <f>Kosten!V13</f>
        <v>-1544.5</v>
      </c>
      <c r="U10" s="43">
        <f>Kosten!W13</f>
        <v>-1544.5</v>
      </c>
      <c r="V10" s="43">
        <f>Kosten!X13</f>
        <v>-1544.5</v>
      </c>
      <c r="W10" s="43">
        <f>Kosten!Y13</f>
        <v>-1544.5</v>
      </c>
      <c r="X10" s="43">
        <f>Kosten!Z13</f>
        <v>-1544.5</v>
      </c>
      <c r="Y10" s="43">
        <f>Kosten!AA13</f>
        <v>-1744.5</v>
      </c>
      <c r="Z10" s="43">
        <f>Kosten!AB13</f>
        <v>-1644.5</v>
      </c>
      <c r="AA10" s="43">
        <f>Kosten!AC13</f>
        <v>-1865.5</v>
      </c>
      <c r="AB10" s="43">
        <f>Kosten!AD13</f>
        <v>-2044.5</v>
      </c>
      <c r="AC10" s="43">
        <f>Kosten!AE13</f>
        <v>-1544.5</v>
      </c>
      <c r="AD10" s="43">
        <f>Kosten!AF13</f>
        <v>-1544.5</v>
      </c>
      <c r="AE10" s="43">
        <f>Kosten!AG13</f>
        <v>-1544.5</v>
      </c>
      <c r="AF10" s="43">
        <f>Kosten!AH13</f>
        <v>-1544.5</v>
      </c>
      <c r="AG10" s="43">
        <f>Kosten!AI13</f>
        <v>-1544.5</v>
      </c>
      <c r="AH10" s="43">
        <f>Kosten!AJ13</f>
        <v>-1544.5</v>
      </c>
      <c r="AI10" s="43">
        <f>Kosten!AK13</f>
        <v>-1544.5</v>
      </c>
      <c r="AJ10" s="43">
        <f>Kosten!AL13</f>
        <v>-1544.5</v>
      </c>
    </row>
    <row r="11"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</row>
    <row r="12">
      <c r="A12" s="10" t="s">
        <v>173</v>
      </c>
      <c r="B12" s="11"/>
      <c r="C12" s="13">
        <f t="shared" ref="C12:AJ12" si="3">C8+C10</f>
        <v>-2842.3</v>
      </c>
      <c r="D12" s="13">
        <f t="shared" si="3"/>
        <v>-1667.1</v>
      </c>
      <c r="E12" s="13">
        <f t="shared" si="3"/>
        <v>-1168.9</v>
      </c>
      <c r="F12" s="13">
        <f t="shared" si="3"/>
        <v>-1281.5</v>
      </c>
      <c r="G12" s="13">
        <f t="shared" si="3"/>
        <v>-1178.7</v>
      </c>
      <c r="H12" s="13">
        <f t="shared" si="3"/>
        <v>-1233.52</v>
      </c>
      <c r="I12" s="13">
        <f t="shared" si="3"/>
        <v>-1280.14</v>
      </c>
      <c r="J12" s="13">
        <f t="shared" si="3"/>
        <v>-1575.76</v>
      </c>
      <c r="K12" s="13">
        <f t="shared" si="3"/>
        <v>-799.8</v>
      </c>
      <c r="L12" s="13">
        <f t="shared" si="3"/>
        <v>-486.04</v>
      </c>
      <c r="M12" s="13">
        <f t="shared" si="3"/>
        <v>-152.9</v>
      </c>
      <c r="N12" s="13">
        <f t="shared" si="3"/>
        <v>275.84</v>
      </c>
      <c r="O12" s="13">
        <f t="shared" si="3"/>
        <v>-12.84</v>
      </c>
      <c r="P12" s="13">
        <f t="shared" si="3"/>
        <v>740.08</v>
      </c>
      <c r="Q12" s="13">
        <f t="shared" si="3"/>
        <v>1864.58</v>
      </c>
      <c r="R12" s="13">
        <f t="shared" si="3"/>
        <v>2513.48</v>
      </c>
      <c r="S12" s="13">
        <f t="shared" si="3"/>
        <v>3191.56</v>
      </c>
      <c r="T12" s="13">
        <f t="shared" si="3"/>
        <v>3947.24</v>
      </c>
      <c r="U12" s="13">
        <f t="shared" si="3"/>
        <v>4690.5</v>
      </c>
      <c r="V12" s="13">
        <f t="shared" si="3"/>
        <v>5524.34</v>
      </c>
      <c r="W12" s="13">
        <f t="shared" si="3"/>
        <v>6447.78</v>
      </c>
      <c r="X12" s="13">
        <f t="shared" si="3"/>
        <v>7397</v>
      </c>
      <c r="Y12" s="13">
        <f t="shared" si="3"/>
        <v>8234.8</v>
      </c>
      <c r="Z12" s="13">
        <f t="shared" si="3"/>
        <v>9457.18</v>
      </c>
      <c r="AA12" s="13">
        <f t="shared" si="3"/>
        <v>10372.14</v>
      </c>
      <c r="AB12" s="13">
        <f t="shared" si="3"/>
        <v>11436.08</v>
      </c>
      <c r="AC12" s="13">
        <f t="shared" si="3"/>
        <v>13261.6</v>
      </c>
      <c r="AD12" s="13">
        <f t="shared" si="3"/>
        <v>14606.9</v>
      </c>
      <c r="AE12" s="13">
        <f t="shared" si="3"/>
        <v>16117.98</v>
      </c>
      <c r="AF12" s="13">
        <f t="shared" si="3"/>
        <v>17648.84</v>
      </c>
      <c r="AG12" s="13">
        <f t="shared" si="3"/>
        <v>19270.48</v>
      </c>
      <c r="AH12" s="13">
        <f t="shared" si="3"/>
        <v>20991.1</v>
      </c>
      <c r="AI12" s="13">
        <f t="shared" si="3"/>
        <v>22797.48</v>
      </c>
      <c r="AJ12" s="13">
        <f t="shared" si="3"/>
        <v>24700.84</v>
      </c>
    </row>
    <row r="13"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</row>
    <row r="14">
      <c r="A14" s="15" t="s">
        <v>174</v>
      </c>
      <c r="C14" s="43">
        <f>'Liquidität'!C24</f>
        <v>0</v>
      </c>
      <c r="D14" s="43">
        <f>'Liquidität'!D24</f>
        <v>0</v>
      </c>
      <c r="E14" s="43">
        <f>'Liquidität'!E24</f>
        <v>0</v>
      </c>
      <c r="F14" s="43">
        <f>'Liquidität'!F24</f>
        <v>0</v>
      </c>
      <c r="G14" s="43">
        <f>'Liquidität'!G24</f>
        <v>0</v>
      </c>
      <c r="H14" s="43">
        <f>'Liquidität'!H24</f>
        <v>0</v>
      </c>
      <c r="I14" s="43">
        <f>'Liquidität'!I24</f>
        <v>0</v>
      </c>
      <c r="J14" s="43">
        <f>'Liquidität'!J24</f>
        <v>0</v>
      </c>
      <c r="K14" s="43">
        <f>'Liquidität'!K24</f>
        <v>0</v>
      </c>
      <c r="L14" s="43">
        <f>'Liquidität'!L24</f>
        <v>0</v>
      </c>
      <c r="M14" s="43">
        <f>'Liquidität'!M24</f>
        <v>0</v>
      </c>
      <c r="N14" s="43">
        <f>'Liquidität'!N24</f>
        <v>0</v>
      </c>
      <c r="O14" s="43">
        <f>'Liquidität'!O24</f>
        <v>-592.0315844</v>
      </c>
      <c r="P14" s="43">
        <f>'Liquidität'!P24</f>
        <v>-1184.063169</v>
      </c>
      <c r="Q14" s="43">
        <f>'Liquidität'!Q24</f>
        <v>-1776.094753</v>
      </c>
      <c r="R14" s="43">
        <f>'Liquidität'!R24</f>
        <v>-2368.126338</v>
      </c>
      <c r="S14" s="43">
        <f>'Liquidität'!S24</f>
        <v>-2960.157922</v>
      </c>
      <c r="T14" s="43">
        <f>'Liquidität'!T24</f>
        <v>-3552.189506</v>
      </c>
      <c r="U14" s="43">
        <f>'Liquidität'!U24</f>
        <v>-4144.221091</v>
      </c>
      <c r="V14" s="43">
        <f>'Liquidität'!V24</f>
        <v>-4736.252675</v>
      </c>
      <c r="W14" s="43">
        <f>'Liquidität'!W24</f>
        <v>-5328.28426</v>
      </c>
      <c r="X14" s="43">
        <f>'Liquidität'!X24</f>
        <v>-5920.315844</v>
      </c>
      <c r="Y14" s="43">
        <f>'Liquidität'!Y24</f>
        <v>-6980.412738</v>
      </c>
      <c r="Z14" s="43">
        <f>'Liquidität'!Z24</f>
        <v>-6980.412738</v>
      </c>
      <c r="AA14" s="43">
        <f>'Liquidität'!AA24</f>
        <v>-6980.412738</v>
      </c>
      <c r="AB14" s="43">
        <f>'Liquidität'!AB24</f>
        <v>-6980.412738</v>
      </c>
      <c r="AC14" s="43">
        <f>'Liquidität'!AC24</f>
        <v>-6980.412738</v>
      </c>
      <c r="AD14" s="43">
        <f>'Liquidität'!AD24</f>
        <v>-6980.412738</v>
      </c>
      <c r="AE14" s="43">
        <f>'Liquidität'!AE24</f>
        <v>-6980.412738</v>
      </c>
      <c r="AF14" s="43">
        <f>'Liquidität'!AF24</f>
        <v>-6980.412738</v>
      </c>
      <c r="AG14" s="43">
        <f>'Liquidität'!AG24</f>
        <v>-6980.412738</v>
      </c>
      <c r="AH14" s="43">
        <f>'Liquidität'!AH24</f>
        <v>-6980.412738</v>
      </c>
      <c r="AI14" s="43">
        <f>'Liquidität'!AI24</f>
        <v>-6980.412738</v>
      </c>
      <c r="AJ14" s="43">
        <f>'Liquidität'!AJ24</f>
        <v>-6980.412738</v>
      </c>
    </row>
    <row r="15"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</row>
    <row r="16">
      <c r="A16" s="10" t="s">
        <v>175</v>
      </c>
      <c r="B16" s="11"/>
      <c r="C16" s="13">
        <f t="shared" ref="C16:AJ16" si="4">C12+C14</f>
        <v>-2842.3</v>
      </c>
      <c r="D16" s="13">
        <f t="shared" si="4"/>
        <v>-1667.1</v>
      </c>
      <c r="E16" s="13">
        <f t="shared" si="4"/>
        <v>-1168.9</v>
      </c>
      <c r="F16" s="13">
        <f t="shared" si="4"/>
        <v>-1281.5</v>
      </c>
      <c r="G16" s="13">
        <f t="shared" si="4"/>
        <v>-1178.7</v>
      </c>
      <c r="H16" s="13">
        <f t="shared" si="4"/>
        <v>-1233.52</v>
      </c>
      <c r="I16" s="13">
        <f t="shared" si="4"/>
        <v>-1280.14</v>
      </c>
      <c r="J16" s="13">
        <f t="shared" si="4"/>
        <v>-1575.76</v>
      </c>
      <c r="K16" s="13">
        <f t="shared" si="4"/>
        <v>-799.8</v>
      </c>
      <c r="L16" s="13">
        <f t="shared" si="4"/>
        <v>-486.04</v>
      </c>
      <c r="M16" s="13">
        <f t="shared" si="4"/>
        <v>-152.9</v>
      </c>
      <c r="N16" s="13">
        <f t="shared" si="4"/>
        <v>275.84</v>
      </c>
      <c r="O16" s="13">
        <f t="shared" si="4"/>
        <v>-604.8715844</v>
      </c>
      <c r="P16" s="13">
        <f t="shared" si="4"/>
        <v>-443.9831688</v>
      </c>
      <c r="Q16" s="13">
        <f t="shared" si="4"/>
        <v>88.48524675</v>
      </c>
      <c r="R16" s="13">
        <f t="shared" si="4"/>
        <v>145.3536623</v>
      </c>
      <c r="S16" s="13">
        <f t="shared" si="4"/>
        <v>231.4020779</v>
      </c>
      <c r="T16" s="13">
        <f t="shared" si="4"/>
        <v>395.0504935</v>
      </c>
      <c r="U16" s="13">
        <f t="shared" si="4"/>
        <v>546.2789091</v>
      </c>
      <c r="V16" s="13">
        <f t="shared" si="4"/>
        <v>788.0873247</v>
      </c>
      <c r="W16" s="13">
        <f t="shared" si="4"/>
        <v>1119.49574</v>
      </c>
      <c r="X16" s="13">
        <f t="shared" si="4"/>
        <v>1476.684156</v>
      </c>
      <c r="Y16" s="13">
        <f t="shared" si="4"/>
        <v>1254.387262</v>
      </c>
      <c r="Z16" s="13">
        <f t="shared" si="4"/>
        <v>2476.767262</v>
      </c>
      <c r="AA16" s="13">
        <f t="shared" si="4"/>
        <v>3391.727262</v>
      </c>
      <c r="AB16" s="13">
        <f t="shared" si="4"/>
        <v>4455.667262</v>
      </c>
      <c r="AC16" s="13">
        <f t="shared" si="4"/>
        <v>6281.187262</v>
      </c>
      <c r="AD16" s="13">
        <f t="shared" si="4"/>
        <v>7626.487262</v>
      </c>
      <c r="AE16" s="13">
        <f t="shared" si="4"/>
        <v>9137.567262</v>
      </c>
      <c r="AF16" s="13">
        <f t="shared" si="4"/>
        <v>10668.42726</v>
      </c>
      <c r="AG16" s="13">
        <f t="shared" si="4"/>
        <v>12290.06726</v>
      </c>
      <c r="AH16" s="13">
        <f t="shared" si="4"/>
        <v>14010.68726</v>
      </c>
      <c r="AI16" s="13">
        <f t="shared" si="4"/>
        <v>15817.06726</v>
      </c>
      <c r="AJ16" s="13">
        <f t="shared" si="4"/>
        <v>17720.42726</v>
      </c>
    </row>
    <row r="17"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</row>
    <row r="18">
      <c r="A18" s="10" t="s">
        <v>21</v>
      </c>
      <c r="B18" s="23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>
      <c r="A19" s="15" t="s">
        <v>23</v>
      </c>
      <c r="C19" s="21">
        <f t="shared" ref="C19:AJ19" si="5">C8/C4</f>
        <v>0.28</v>
      </c>
      <c r="D19" s="21">
        <f t="shared" si="5"/>
        <v>0.28</v>
      </c>
      <c r="E19" s="21">
        <f t="shared" si="5"/>
        <v>0.1466666667</v>
      </c>
      <c r="F19" s="21">
        <f t="shared" si="5"/>
        <v>-0.09333333333</v>
      </c>
      <c r="G19" s="21">
        <f t="shared" si="5"/>
        <v>0.3456716418</v>
      </c>
      <c r="H19" s="21">
        <f t="shared" si="5"/>
        <v>0.3075071633</v>
      </c>
      <c r="I19" s="21">
        <f t="shared" si="5"/>
        <v>0.2930820399</v>
      </c>
      <c r="J19" s="21">
        <f t="shared" si="5"/>
        <v>0.3395436436</v>
      </c>
      <c r="K19" s="21">
        <f t="shared" si="5"/>
        <v>0.3914323259</v>
      </c>
      <c r="L19" s="21">
        <f t="shared" si="5"/>
        <v>0.4095414974</v>
      </c>
      <c r="M19" s="21">
        <f t="shared" si="5"/>
        <v>0.4223368741</v>
      </c>
      <c r="N19" s="21">
        <f t="shared" si="5"/>
        <v>0.4385833032</v>
      </c>
      <c r="O19" s="21">
        <f t="shared" si="5"/>
        <v>0.446115457</v>
      </c>
      <c r="P19" s="21">
        <f t="shared" si="5"/>
        <v>0.4569754657</v>
      </c>
      <c r="Q19" s="21">
        <f t="shared" si="5"/>
        <v>0.4682159044</v>
      </c>
      <c r="R19" s="21">
        <f t="shared" si="5"/>
        <v>0.4774936754</v>
      </c>
      <c r="S19" s="21">
        <f t="shared" si="5"/>
        <v>0.4867732155</v>
      </c>
      <c r="T19" s="21">
        <f t="shared" si="5"/>
        <v>0.4945063257</v>
      </c>
      <c r="U19" s="21">
        <f t="shared" si="5"/>
        <v>0.4978043912</v>
      </c>
      <c r="V19" s="21">
        <f t="shared" si="5"/>
        <v>0.5017632027</v>
      </c>
      <c r="W19" s="21">
        <f t="shared" si="5"/>
        <v>0.5059685996</v>
      </c>
      <c r="X19" s="21">
        <f t="shared" si="5"/>
        <v>0.5091245552</v>
      </c>
      <c r="Y19" s="21">
        <f t="shared" si="5"/>
        <v>0.512481705</v>
      </c>
      <c r="Z19" s="21">
        <f t="shared" si="5"/>
        <v>0.5157335315</v>
      </c>
      <c r="AA19" s="21">
        <f t="shared" si="5"/>
        <v>0.5180391991</v>
      </c>
      <c r="AB19" s="21">
        <f t="shared" si="5"/>
        <v>0.5206163709</v>
      </c>
      <c r="AC19" s="21">
        <f t="shared" si="5"/>
        <v>0.5230451294</v>
      </c>
      <c r="AD19" s="21">
        <f t="shared" si="5"/>
        <v>0.5247368421</v>
      </c>
      <c r="AE19" s="21">
        <f t="shared" si="5"/>
        <v>0.5270651428</v>
      </c>
      <c r="AF19" s="21">
        <f t="shared" si="5"/>
        <v>0.5287348659</v>
      </c>
      <c r="AG19" s="21">
        <f t="shared" si="5"/>
        <v>0.5303382295</v>
      </c>
      <c r="AH19" s="21">
        <f t="shared" si="5"/>
        <v>0.5318763276</v>
      </c>
      <c r="AI19" s="21">
        <f t="shared" si="5"/>
        <v>0.53324819</v>
      </c>
      <c r="AJ19" s="21">
        <f t="shared" si="5"/>
        <v>0.5345228664</v>
      </c>
    </row>
    <row r="20">
      <c r="A20" s="15" t="s">
        <v>24</v>
      </c>
      <c r="C20" s="21">
        <f t="shared" ref="C20:AJ20" si="6">-C10/C4</f>
        <v>189.7666667</v>
      </c>
      <c r="D20" s="21">
        <f t="shared" si="6"/>
        <v>55.85</v>
      </c>
      <c r="E20" s="21">
        <f t="shared" si="6"/>
        <v>26.12222222</v>
      </c>
      <c r="F20" s="21">
        <f t="shared" si="6"/>
        <v>16.99333333</v>
      </c>
      <c r="G20" s="21">
        <f t="shared" si="6"/>
        <v>3.864179104</v>
      </c>
      <c r="H20" s="21">
        <f t="shared" si="6"/>
        <v>2.663801337</v>
      </c>
      <c r="I20" s="21">
        <f t="shared" si="6"/>
        <v>1.712305987</v>
      </c>
      <c r="J20" s="21">
        <f t="shared" si="6"/>
        <v>1.48098515</v>
      </c>
      <c r="K20" s="21">
        <f t="shared" si="6"/>
        <v>0.811826544</v>
      </c>
      <c r="L20" s="21">
        <f t="shared" si="6"/>
        <v>0.5976010834</v>
      </c>
      <c r="M20" s="21">
        <f t="shared" si="6"/>
        <v>0.4687405159</v>
      </c>
      <c r="N20" s="21">
        <f t="shared" si="6"/>
        <v>0.3721238405</v>
      </c>
      <c r="O20" s="21">
        <f t="shared" si="6"/>
        <v>0.448658283</v>
      </c>
      <c r="P20" s="21">
        <f t="shared" si="6"/>
        <v>0.3355214573</v>
      </c>
      <c r="Q20" s="21">
        <f t="shared" si="6"/>
        <v>0.212127455</v>
      </c>
      <c r="R20" s="21">
        <f t="shared" si="6"/>
        <v>0.1817379538</v>
      </c>
      <c r="S20" s="21">
        <f t="shared" si="6"/>
        <v>0.1587440259</v>
      </c>
      <c r="T20" s="21">
        <f t="shared" si="6"/>
        <v>0.139075233</v>
      </c>
      <c r="U20" s="21">
        <f t="shared" si="6"/>
        <v>0.1233133733</v>
      </c>
      <c r="V20" s="21">
        <f t="shared" si="6"/>
        <v>0.1096323112</v>
      </c>
      <c r="W20" s="21">
        <f t="shared" si="6"/>
        <v>0.09777791846</v>
      </c>
      <c r="X20" s="21">
        <f t="shared" si="6"/>
        <v>0.0879430605</v>
      </c>
      <c r="Y20" s="21">
        <f t="shared" si="6"/>
        <v>0.08958788034</v>
      </c>
      <c r="Z20" s="21">
        <f t="shared" si="6"/>
        <v>0.07639598625</v>
      </c>
      <c r="AA20" s="21">
        <f t="shared" si="6"/>
        <v>0.07896964822</v>
      </c>
      <c r="AB20" s="21">
        <f t="shared" si="6"/>
        <v>0.07895803966</v>
      </c>
      <c r="AC20" s="21">
        <f t="shared" si="6"/>
        <v>0.05456151197</v>
      </c>
      <c r="AD20" s="21">
        <f t="shared" si="6"/>
        <v>0.05017868746</v>
      </c>
      <c r="AE20" s="21">
        <f t="shared" si="6"/>
        <v>0.0460893438</v>
      </c>
      <c r="AF20" s="21">
        <f t="shared" si="6"/>
        <v>0.04254762331</v>
      </c>
      <c r="AG20" s="21">
        <f t="shared" si="6"/>
        <v>0.03935182236</v>
      </c>
      <c r="AH20" s="21">
        <f t="shared" si="6"/>
        <v>0.03645267878</v>
      </c>
      <c r="AI20" s="21">
        <f t="shared" si="6"/>
        <v>0.03383462764</v>
      </c>
      <c r="AJ20" s="21">
        <f t="shared" si="6"/>
        <v>0.03145589149</v>
      </c>
    </row>
    <row r="21">
      <c r="A21" s="15" t="s">
        <v>176</v>
      </c>
      <c r="C21" s="21">
        <f t="shared" ref="C21:AJ21" si="7">C12/C4</f>
        <v>-189.4866667</v>
      </c>
      <c r="D21" s="21">
        <f t="shared" si="7"/>
        <v>-55.57</v>
      </c>
      <c r="E21" s="21">
        <f t="shared" si="7"/>
        <v>-25.97555556</v>
      </c>
      <c r="F21" s="21">
        <f t="shared" si="7"/>
        <v>-17.08666667</v>
      </c>
      <c r="G21" s="21">
        <f t="shared" si="7"/>
        <v>-3.518507463</v>
      </c>
      <c r="H21" s="21">
        <f t="shared" si="7"/>
        <v>-2.356294174</v>
      </c>
      <c r="I21" s="21">
        <f t="shared" si="7"/>
        <v>-1.419223947</v>
      </c>
      <c r="J21" s="21">
        <f t="shared" si="7"/>
        <v>-1.141441507</v>
      </c>
      <c r="K21" s="21">
        <f t="shared" si="7"/>
        <v>-0.4203942181</v>
      </c>
      <c r="L21" s="21">
        <f t="shared" si="7"/>
        <v>-0.188059586</v>
      </c>
      <c r="M21" s="21">
        <f t="shared" si="7"/>
        <v>-0.04640364188</v>
      </c>
      <c r="N21" s="21">
        <f t="shared" si="7"/>
        <v>0.06645946272</v>
      </c>
      <c r="O21" s="21">
        <f t="shared" si="7"/>
        <v>-0.002542826022</v>
      </c>
      <c r="P21" s="21">
        <f t="shared" si="7"/>
        <v>0.1214540084</v>
      </c>
      <c r="Q21" s="21">
        <f t="shared" si="7"/>
        <v>0.2560884494</v>
      </c>
      <c r="R21" s="21">
        <f t="shared" si="7"/>
        <v>0.2957557216</v>
      </c>
      <c r="S21" s="21">
        <f t="shared" si="7"/>
        <v>0.3280291896</v>
      </c>
      <c r="T21" s="21">
        <f t="shared" si="7"/>
        <v>0.3554310927</v>
      </c>
      <c r="U21" s="21">
        <f t="shared" si="7"/>
        <v>0.374491018</v>
      </c>
      <c r="V21" s="21">
        <f t="shared" si="7"/>
        <v>0.3921308915</v>
      </c>
      <c r="W21" s="21">
        <f t="shared" si="7"/>
        <v>0.4081906812</v>
      </c>
      <c r="X21" s="21">
        <f t="shared" si="7"/>
        <v>0.4211814947</v>
      </c>
      <c r="Y21" s="21">
        <f t="shared" si="7"/>
        <v>0.4228938246</v>
      </c>
      <c r="Z21" s="21">
        <f t="shared" si="7"/>
        <v>0.4393375453</v>
      </c>
      <c r="AA21" s="21">
        <f t="shared" si="7"/>
        <v>0.4390695509</v>
      </c>
      <c r="AB21" s="21">
        <f t="shared" si="7"/>
        <v>0.4416583312</v>
      </c>
      <c r="AC21" s="21">
        <f t="shared" si="7"/>
        <v>0.4684836174</v>
      </c>
      <c r="AD21" s="21">
        <f t="shared" si="7"/>
        <v>0.4745581546</v>
      </c>
      <c r="AE21" s="21">
        <f t="shared" si="7"/>
        <v>0.480975799</v>
      </c>
      <c r="AF21" s="21">
        <f t="shared" si="7"/>
        <v>0.4861872426</v>
      </c>
      <c r="AG21" s="21">
        <f t="shared" si="7"/>
        <v>0.4909864071</v>
      </c>
      <c r="AH21" s="21">
        <f t="shared" si="7"/>
        <v>0.4954236488</v>
      </c>
      <c r="AI21" s="21">
        <f t="shared" si="7"/>
        <v>0.4994135623</v>
      </c>
      <c r="AJ21" s="21">
        <f t="shared" si="7"/>
        <v>0.5030669749</v>
      </c>
    </row>
    <row r="22">
      <c r="A22" s="15" t="s">
        <v>26</v>
      </c>
      <c r="C22" s="16">
        <f t="shared" ref="C22:AJ22" si="8">-C10/C19</f>
        <v>10166.07143</v>
      </c>
      <c r="D22" s="16">
        <f t="shared" si="8"/>
        <v>5983.928571</v>
      </c>
      <c r="E22" s="16">
        <f t="shared" si="8"/>
        <v>8014.772727</v>
      </c>
      <c r="F22" s="16">
        <f t="shared" si="8"/>
        <v>-13655.35714</v>
      </c>
      <c r="G22" s="16">
        <f t="shared" si="8"/>
        <v>3744.88342</v>
      </c>
      <c r="H22" s="16">
        <f t="shared" si="8"/>
        <v>4534.853709</v>
      </c>
      <c r="I22" s="16">
        <f t="shared" si="8"/>
        <v>5269.8555</v>
      </c>
      <c r="J22" s="16">
        <f t="shared" si="8"/>
        <v>6021.317255</v>
      </c>
      <c r="K22" s="16">
        <f t="shared" si="8"/>
        <v>3945.765073</v>
      </c>
      <c r="L22" s="16">
        <f t="shared" si="8"/>
        <v>3771.290601</v>
      </c>
      <c r="M22" s="16">
        <f t="shared" si="8"/>
        <v>3657.033271</v>
      </c>
      <c r="N22" s="16">
        <f t="shared" si="8"/>
        <v>3521.565889</v>
      </c>
      <c r="O22" s="16">
        <f t="shared" si="8"/>
        <v>5078.281787</v>
      </c>
      <c r="P22" s="16">
        <f t="shared" si="8"/>
        <v>4473.981983</v>
      </c>
      <c r="Q22" s="16">
        <f t="shared" si="8"/>
        <v>3298.691876</v>
      </c>
      <c r="R22" s="16">
        <f t="shared" si="8"/>
        <v>3234.597817</v>
      </c>
      <c r="S22" s="16">
        <f t="shared" si="8"/>
        <v>3172.935467</v>
      </c>
      <c r="T22" s="16">
        <f t="shared" si="8"/>
        <v>3123.316972</v>
      </c>
      <c r="U22" s="16">
        <f t="shared" si="8"/>
        <v>3102.624298</v>
      </c>
      <c r="V22" s="16">
        <f t="shared" si="8"/>
        <v>3078.145212</v>
      </c>
      <c r="W22" s="16">
        <f t="shared" si="8"/>
        <v>3052.560971</v>
      </c>
      <c r="X22" s="16">
        <f t="shared" si="8"/>
        <v>3033.638791</v>
      </c>
      <c r="Y22" s="16">
        <f t="shared" si="8"/>
        <v>3404.023955</v>
      </c>
      <c r="Z22" s="16">
        <f t="shared" si="8"/>
        <v>3188.662166</v>
      </c>
      <c r="AA22" s="16">
        <f t="shared" si="8"/>
        <v>3601.078844</v>
      </c>
      <c r="AB22" s="16">
        <f t="shared" si="8"/>
        <v>3927.075894</v>
      </c>
      <c r="AC22" s="16">
        <f t="shared" si="8"/>
        <v>2952.900072</v>
      </c>
      <c r="AD22" s="16">
        <f t="shared" si="8"/>
        <v>2943.38014</v>
      </c>
      <c r="AE22" s="16">
        <f t="shared" si="8"/>
        <v>2930.377812</v>
      </c>
      <c r="AF22" s="16">
        <f t="shared" si="8"/>
        <v>2921.123799</v>
      </c>
      <c r="AG22" s="16">
        <f t="shared" si="8"/>
        <v>2912.292409</v>
      </c>
      <c r="AH22" s="16">
        <f t="shared" si="8"/>
        <v>2903.870543</v>
      </c>
      <c r="AI22" s="16">
        <f t="shared" si="8"/>
        <v>2896.399892</v>
      </c>
      <c r="AJ22" s="16">
        <f t="shared" si="8"/>
        <v>2889.492849</v>
      </c>
    </row>
    <row r="23"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</row>
    <row r="24"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</row>
    <row r="25"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</row>
    <row r="26"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</row>
    <row r="27"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</row>
    <row r="28"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</row>
    <row r="29"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</row>
    <row r="30"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</row>
    <row r="31"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</row>
    <row r="32"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</row>
    <row r="33"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</row>
    <row r="34"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</row>
    <row r="35"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</row>
    <row r="36"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</row>
    <row r="37"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</row>
    <row r="38"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</row>
    <row r="39"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</row>
    <row r="40"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</row>
    <row r="41"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</row>
    <row r="42"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</row>
    <row r="43"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</row>
    <row r="44"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</row>
    <row r="45"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</row>
    <row r="46"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</row>
    <row r="47"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</row>
    <row r="48"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</row>
    <row r="49"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</row>
    <row r="50"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</row>
    <row r="51"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</row>
    <row r="52"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</row>
    <row r="53"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</row>
    <row r="54"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</row>
    <row r="55"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</row>
    <row r="56"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</row>
    <row r="57"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</row>
    <row r="58"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</row>
    <row r="59"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</row>
    <row r="60"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</row>
    <row r="61"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</row>
    <row r="62"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</row>
    <row r="63"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</row>
    <row r="64"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</row>
    <row r="65"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</row>
    <row r="66"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</row>
    <row r="67"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</row>
    <row r="68"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</row>
    <row r="69"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</row>
    <row r="70"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</row>
    <row r="71"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</row>
    <row r="72"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</row>
    <row r="73"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</row>
    <row r="74"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</row>
    <row r="75"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</row>
    <row r="76"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</row>
    <row r="77"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</row>
    <row r="78"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</row>
    <row r="79"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</row>
    <row r="80"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</row>
    <row r="81"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</row>
    <row r="82"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</row>
    <row r="83"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</row>
    <row r="84"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</row>
    <row r="85"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</row>
    <row r="86"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</row>
    <row r="87"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</row>
    <row r="88"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</row>
    <row r="89"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</row>
    <row r="90"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</row>
    <row r="91"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</row>
    <row r="92"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</row>
    <row r="93"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</row>
    <row r="94"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</row>
    <row r="95"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</row>
    <row r="96"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</row>
    <row r="97"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</row>
    <row r="98"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</row>
    <row r="99"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</row>
    <row r="100"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</row>
    <row r="101"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</row>
    <row r="102"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</row>
    <row r="103"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</row>
    <row r="104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</row>
    <row r="105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</row>
    <row r="106"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</row>
    <row r="107"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</row>
    <row r="108"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</row>
    <row r="109"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</row>
    <row r="110"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</row>
    <row r="111"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</row>
    <row r="112"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</row>
    <row r="113"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</row>
    <row r="114"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</row>
    <row r="115"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</row>
    <row r="116"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</row>
    <row r="117"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</row>
    <row r="118"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</row>
    <row r="119"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</row>
    <row r="120"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</row>
    <row r="121"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</row>
    <row r="122"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</row>
    <row r="123"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</row>
    <row r="124"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</row>
    <row r="125"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</row>
    <row r="126"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</row>
    <row r="127"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</row>
    <row r="128"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</row>
    <row r="129"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</row>
    <row r="130"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</row>
    <row r="131"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</row>
    <row r="132"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</row>
    <row r="133"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</row>
    <row r="134"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</row>
    <row r="135"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</row>
    <row r="136"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</row>
    <row r="137"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</row>
    <row r="138"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</row>
    <row r="139"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</row>
    <row r="140"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</row>
    <row r="141"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</row>
    <row r="142"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</row>
    <row r="143"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</row>
    <row r="144"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</row>
    <row r="145"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</row>
    <row r="146"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</row>
    <row r="147"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</row>
    <row r="148"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</row>
    <row r="149"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</row>
    <row r="150"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</row>
    <row r="151"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</row>
    <row r="152"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</row>
    <row r="153"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</row>
    <row r="154"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</row>
    <row r="155"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</row>
    <row r="156"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</row>
    <row r="157"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</row>
    <row r="158"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</row>
    <row r="159"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</row>
    <row r="160"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</row>
    <row r="161"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</row>
    <row r="162"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</row>
    <row r="163"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</row>
    <row r="164"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</row>
    <row r="165"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</row>
    <row r="166"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</row>
    <row r="167"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</row>
    <row r="168"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</row>
    <row r="169"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</row>
    <row r="170"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</row>
    <row r="171"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</row>
    <row r="172"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</row>
    <row r="173"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</row>
    <row r="174"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</row>
    <row r="175"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</row>
    <row r="176"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</row>
    <row r="177"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</row>
    <row r="178"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</row>
    <row r="179"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</row>
    <row r="180"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</row>
    <row r="181"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</row>
    <row r="182"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</row>
    <row r="183"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</row>
    <row r="184"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</row>
    <row r="185"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</row>
    <row r="186"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</row>
    <row r="187"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</row>
    <row r="188"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</row>
    <row r="189"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</row>
    <row r="190"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</row>
    <row r="191"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</row>
    <row r="192"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</row>
    <row r="193"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</row>
    <row r="194"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</row>
    <row r="195"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</row>
    <row r="196"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  <row r="207"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</row>
    <row r="208"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</row>
    <row r="209"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</row>
    <row r="210"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</row>
    <row r="211"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</row>
    <row r="212"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</row>
    <row r="213"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</row>
    <row r="214"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</row>
    <row r="215"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</row>
    <row r="216"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</row>
    <row r="217"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</row>
    <row r="218"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</row>
    <row r="219"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</row>
    <row r="220"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</row>
    <row r="221"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</row>
    <row r="222"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</row>
    <row r="223"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</row>
    <row r="224"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</row>
    <row r="225"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</row>
    <row r="226"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</row>
    <row r="227"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</row>
    <row r="228"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</row>
    <row r="229"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</row>
    <row r="230"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</row>
    <row r="231"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</row>
    <row r="232"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</row>
    <row r="233"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</row>
    <row r="234"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</row>
    <row r="235"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</row>
    <row r="236"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</row>
    <row r="237"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</row>
    <row r="238"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</row>
    <row r="239"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</row>
    <row r="240"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</row>
    <row r="241"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</row>
    <row r="242"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</row>
    <row r="243"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</row>
    <row r="244"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</row>
    <row r="245"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</row>
    <row r="246"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</row>
    <row r="247"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</row>
    <row r="248"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</row>
    <row r="249"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</row>
    <row r="250"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</row>
    <row r="251"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</row>
    <row r="252"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</row>
    <row r="253"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</row>
    <row r="254"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</row>
    <row r="255"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</row>
    <row r="256"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</row>
    <row r="257"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</row>
    <row r="258"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</row>
    <row r="259"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</row>
    <row r="260"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</row>
    <row r="261"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</row>
    <row r="262"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</row>
    <row r="263"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</row>
    <row r="264"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</row>
    <row r="265"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</row>
    <row r="266"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</row>
    <row r="267"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</row>
    <row r="268"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</row>
    <row r="269"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</row>
    <row r="270"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</row>
    <row r="271"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</row>
    <row r="272"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</row>
    <row r="273"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</row>
    <row r="274"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</row>
    <row r="275"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</row>
    <row r="276"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</row>
    <row r="277"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</row>
    <row r="278"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</row>
    <row r="279"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</row>
    <row r="280"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</row>
    <row r="281"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</row>
    <row r="282"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</row>
    <row r="283"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</row>
    <row r="284"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</row>
    <row r="285"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</row>
    <row r="286"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</row>
    <row r="287"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</row>
    <row r="288"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</row>
    <row r="289"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</row>
    <row r="290"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</row>
    <row r="291"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</row>
    <row r="292"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</row>
    <row r="293"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</row>
    <row r="294"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</row>
    <row r="295"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</row>
    <row r="296"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</row>
    <row r="297"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</row>
    <row r="298"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</row>
    <row r="299"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</row>
    <row r="300"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</row>
    <row r="301"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</row>
    <row r="302"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</row>
    <row r="303"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</row>
    <row r="304"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</row>
    <row r="305"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</row>
    <row r="306"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</row>
    <row r="307"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</row>
    <row r="308"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</row>
    <row r="309"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</row>
    <row r="310"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</row>
    <row r="311"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</row>
    <row r="312"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</row>
    <row r="313"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</row>
    <row r="314"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</row>
    <row r="315"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</row>
    <row r="316"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</row>
    <row r="317"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</row>
    <row r="318"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</row>
    <row r="319"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</row>
    <row r="320"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</row>
    <row r="321"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</row>
    <row r="322"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</row>
    <row r="323"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</row>
    <row r="324"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</row>
    <row r="325"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</row>
    <row r="326"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</row>
    <row r="327"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</row>
    <row r="328"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</row>
    <row r="329"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</row>
    <row r="330"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</row>
    <row r="331"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</row>
    <row r="332"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</row>
    <row r="333"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</row>
    <row r="334"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</row>
    <row r="335"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</row>
    <row r="336"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</row>
    <row r="337"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</row>
    <row r="338"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</row>
    <row r="339"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</row>
    <row r="340"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</row>
    <row r="341"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</row>
    <row r="342"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</row>
    <row r="343"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</row>
    <row r="344"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</row>
    <row r="345"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</row>
    <row r="346"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</row>
    <row r="347"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</row>
    <row r="348"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</row>
    <row r="349"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</row>
    <row r="350"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</row>
    <row r="351"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</row>
    <row r="352"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</row>
    <row r="353"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</row>
    <row r="354"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</row>
    <row r="355"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</row>
    <row r="356"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</row>
    <row r="357"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</row>
    <row r="358"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</row>
    <row r="359"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</row>
    <row r="360"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</row>
    <row r="361"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</row>
    <row r="362"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</row>
    <row r="363"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</row>
    <row r="364"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</row>
    <row r="365"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</row>
    <row r="366"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</row>
    <row r="367"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</row>
    <row r="368"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</row>
    <row r="369"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</row>
    <row r="370"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</row>
    <row r="371"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</row>
    <row r="372"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</row>
    <row r="373"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</row>
    <row r="374"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</row>
    <row r="375"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</row>
    <row r="376"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</row>
    <row r="377"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</row>
    <row r="378"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</row>
    <row r="379"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</row>
    <row r="380"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</row>
    <row r="381"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</row>
    <row r="382"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</row>
    <row r="383"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</row>
    <row r="384"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</row>
    <row r="385"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</row>
    <row r="386"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</row>
    <row r="387"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</row>
    <row r="388"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</row>
    <row r="389"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</row>
    <row r="390"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</row>
    <row r="391"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</row>
    <row r="392"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</row>
    <row r="393"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</row>
    <row r="394"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</row>
    <row r="395"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</row>
    <row r="396"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</row>
    <row r="397"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</row>
    <row r="398"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</row>
    <row r="399"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</row>
    <row r="400"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</row>
    <row r="401"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</row>
    <row r="402"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</row>
    <row r="403"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</row>
    <row r="404"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</row>
    <row r="405"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</row>
    <row r="406"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</row>
    <row r="407"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</row>
    <row r="408"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</row>
    <row r="409"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</row>
    <row r="410"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</row>
    <row r="411"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</row>
    <row r="412"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</row>
    <row r="413"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</row>
    <row r="414"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</row>
    <row r="415"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</row>
    <row r="416"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</row>
    <row r="417"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</row>
    <row r="418"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</row>
    <row r="419"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</row>
    <row r="420"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</row>
    <row r="421"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</row>
    <row r="422"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</row>
    <row r="423"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</row>
    <row r="424"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</row>
    <row r="425"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</row>
    <row r="426"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</row>
    <row r="427"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</row>
    <row r="428"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</row>
    <row r="429"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</row>
    <row r="430"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</row>
    <row r="431"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</row>
    <row r="432"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</row>
    <row r="433"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</row>
    <row r="434"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</row>
    <row r="435"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</row>
    <row r="436"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</row>
    <row r="437"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</row>
    <row r="438"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</row>
    <row r="439"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</row>
    <row r="440"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</row>
    <row r="441"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</row>
    <row r="442"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</row>
    <row r="443"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</row>
    <row r="444"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</row>
    <row r="445"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</row>
    <row r="446"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</row>
    <row r="447"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</row>
    <row r="448"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</row>
    <row r="449"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</row>
    <row r="450"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</row>
    <row r="451"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</row>
    <row r="452"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</row>
    <row r="453"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</row>
    <row r="454"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</row>
    <row r="455"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</row>
    <row r="456"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</row>
    <row r="457"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</row>
    <row r="458"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</row>
    <row r="459"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</row>
    <row r="460"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</row>
    <row r="461"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</row>
    <row r="462"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</row>
    <row r="463"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</row>
    <row r="464"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</row>
    <row r="465"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</row>
    <row r="466"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</row>
    <row r="467"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</row>
    <row r="468"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</row>
    <row r="469"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</row>
    <row r="470"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</row>
    <row r="471"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</row>
    <row r="472"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</row>
    <row r="473"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</row>
    <row r="474"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</row>
    <row r="475"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</row>
    <row r="476"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</row>
    <row r="477"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</row>
    <row r="478"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</row>
    <row r="479"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</row>
    <row r="480"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</row>
    <row r="481"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</row>
    <row r="482"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</row>
    <row r="483"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</row>
    <row r="484"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</row>
    <row r="485"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</row>
    <row r="486"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</row>
    <row r="487"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</row>
    <row r="488"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</row>
    <row r="489"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</row>
    <row r="490"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</row>
    <row r="491"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</row>
    <row r="492"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</row>
    <row r="493"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</row>
    <row r="494"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</row>
    <row r="495"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</row>
    <row r="496"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</row>
    <row r="497"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</row>
    <row r="498"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</row>
    <row r="499"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</row>
    <row r="500"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</row>
    <row r="501"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</row>
    <row r="502"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</row>
    <row r="503"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</row>
    <row r="504"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</row>
    <row r="505"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</row>
    <row r="506"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</row>
    <row r="507"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</row>
    <row r="508"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</row>
    <row r="509"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</row>
    <row r="510"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</row>
    <row r="511"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</row>
    <row r="512"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</row>
    <row r="513"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</row>
    <row r="514"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</row>
    <row r="515"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</row>
    <row r="516"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</row>
    <row r="517"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</row>
    <row r="518"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</row>
    <row r="519"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</row>
    <row r="520"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</row>
    <row r="521"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</row>
    <row r="522"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</row>
    <row r="523"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</row>
    <row r="524"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</row>
    <row r="525"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</row>
    <row r="526"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</row>
    <row r="527"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</row>
    <row r="528"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</row>
    <row r="529"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</row>
    <row r="530"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</row>
    <row r="531"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</row>
    <row r="532"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</row>
    <row r="533"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</row>
    <row r="534"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</row>
    <row r="535"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</row>
    <row r="536"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</row>
    <row r="537"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</row>
    <row r="538"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</row>
    <row r="539"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</row>
    <row r="540"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</row>
    <row r="541"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</row>
    <row r="542"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</row>
    <row r="543"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</row>
    <row r="544"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</row>
    <row r="545"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</row>
    <row r="546"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</row>
    <row r="547"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</row>
    <row r="548"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</row>
    <row r="549"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</row>
    <row r="550"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</row>
    <row r="551"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</row>
    <row r="552"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</row>
    <row r="553"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</row>
    <row r="554"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</row>
    <row r="555"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</row>
    <row r="556"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</row>
    <row r="557"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</row>
    <row r="558"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</row>
    <row r="559"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</row>
    <row r="560"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</row>
    <row r="561"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</row>
    <row r="562"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</row>
    <row r="563"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</row>
    <row r="564"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</row>
    <row r="565"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</row>
    <row r="566"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</row>
    <row r="567"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</row>
    <row r="568"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</row>
    <row r="569"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</row>
    <row r="570"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</row>
    <row r="571"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</row>
    <row r="572"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</row>
    <row r="573"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</row>
    <row r="574"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</row>
    <row r="575"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</row>
    <row r="576"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</row>
    <row r="577"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</row>
    <row r="578"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</row>
    <row r="579"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</row>
    <row r="580"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</row>
    <row r="581"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</row>
    <row r="582"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</row>
    <row r="583"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</row>
    <row r="584"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</row>
    <row r="585"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</row>
    <row r="586"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</row>
    <row r="587"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</row>
    <row r="588"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</row>
    <row r="589"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</row>
    <row r="590"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</row>
    <row r="591"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</row>
    <row r="592"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</row>
    <row r="593"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</row>
    <row r="594"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</row>
    <row r="595"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</row>
    <row r="596"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</row>
    <row r="597"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</row>
    <row r="598"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</row>
    <row r="599"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</row>
    <row r="600"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</row>
    <row r="601"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</row>
    <row r="602"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</row>
    <row r="603"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</row>
    <row r="604"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</row>
    <row r="605"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</row>
    <row r="606"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</row>
    <row r="607"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</row>
    <row r="608"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</row>
    <row r="609"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</row>
    <row r="610"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</row>
    <row r="611"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</row>
    <row r="612"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</row>
    <row r="613"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</row>
    <row r="614"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</row>
    <row r="615"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</row>
    <row r="616"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</row>
    <row r="617"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</row>
    <row r="618"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</row>
    <row r="619"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</row>
    <row r="620"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</row>
    <row r="621"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</row>
    <row r="622"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</row>
    <row r="623"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</row>
    <row r="624"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</row>
    <row r="625"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</row>
    <row r="626"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</row>
    <row r="627"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</row>
    <row r="628"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</row>
    <row r="629"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</row>
    <row r="630"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</row>
    <row r="631"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</row>
    <row r="632"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</row>
    <row r="633"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</row>
    <row r="634"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</row>
    <row r="635"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</row>
    <row r="636"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</row>
    <row r="637"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</row>
    <row r="638"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</row>
    <row r="639"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</row>
    <row r="640"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</row>
    <row r="641"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</row>
    <row r="642"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</row>
    <row r="643"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</row>
    <row r="644"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</row>
    <row r="645"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</row>
    <row r="646"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</row>
    <row r="647"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</row>
    <row r="648"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</row>
    <row r="649"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</row>
    <row r="650"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</row>
    <row r="651"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</row>
    <row r="652"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</row>
    <row r="653"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</row>
    <row r="654"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</row>
    <row r="655"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</row>
    <row r="656"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</row>
    <row r="657"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</row>
    <row r="658"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</row>
    <row r="659"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</row>
    <row r="660"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</row>
    <row r="661"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</row>
    <row r="662"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</row>
    <row r="663"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</row>
    <row r="664"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</row>
    <row r="665"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</row>
    <row r="666"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</row>
    <row r="667"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</row>
    <row r="668"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</row>
    <row r="669"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</row>
    <row r="670"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</row>
    <row r="671"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</row>
    <row r="672"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</row>
    <row r="673"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</row>
    <row r="674"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</row>
    <row r="675"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</row>
    <row r="676"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</row>
    <row r="677"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</row>
    <row r="678"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</row>
    <row r="679"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</row>
    <row r="680"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</row>
    <row r="681"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</row>
    <row r="682"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</row>
    <row r="683"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</row>
    <row r="684"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</row>
    <row r="685"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</row>
    <row r="686"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</row>
    <row r="687"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</row>
    <row r="688"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</row>
    <row r="689"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</row>
    <row r="690"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</row>
    <row r="691"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</row>
    <row r="692"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</row>
    <row r="693"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</row>
    <row r="694"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</row>
    <row r="695"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</row>
    <row r="696"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</row>
    <row r="697"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</row>
    <row r="698"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</row>
    <row r="699"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</row>
    <row r="700"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</row>
    <row r="701"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</row>
    <row r="702"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</row>
    <row r="703"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</row>
    <row r="704"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</row>
    <row r="705"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</row>
    <row r="706"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</row>
    <row r="707"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</row>
    <row r="708"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</row>
    <row r="709"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</row>
    <row r="710"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</row>
    <row r="711"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</row>
    <row r="712"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</row>
    <row r="713"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</row>
    <row r="714"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</row>
    <row r="715"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</row>
    <row r="716"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</row>
    <row r="717"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</row>
    <row r="718"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</row>
    <row r="719"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</row>
    <row r="720"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</row>
    <row r="721"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</row>
    <row r="722"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</row>
    <row r="723"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</row>
    <row r="724"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</row>
    <row r="725"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</row>
    <row r="726"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</row>
    <row r="727"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</row>
    <row r="728"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</row>
    <row r="729"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</row>
    <row r="730"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</row>
    <row r="731"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</row>
    <row r="732"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</row>
    <row r="733"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</row>
    <row r="734"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</row>
    <row r="735"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</row>
    <row r="736"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</row>
    <row r="737"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</row>
    <row r="738"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</row>
    <row r="739"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</row>
    <row r="740"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</row>
    <row r="741"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</row>
    <row r="742"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</row>
    <row r="743"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</row>
    <row r="744"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</row>
    <row r="745"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</row>
    <row r="746"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</row>
    <row r="747"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</row>
    <row r="748"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</row>
    <row r="749"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</row>
    <row r="750"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</row>
    <row r="751"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</row>
    <row r="752"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</row>
    <row r="753"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</row>
    <row r="754"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</row>
    <row r="755"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</row>
    <row r="756"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</row>
    <row r="757"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</row>
    <row r="758"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</row>
    <row r="759"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</row>
    <row r="760"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</row>
    <row r="761"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</row>
    <row r="762"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</row>
    <row r="763"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</row>
    <row r="764"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</row>
    <row r="765"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</row>
    <row r="766"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</row>
    <row r="767"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</row>
    <row r="768"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</row>
    <row r="769"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</row>
    <row r="770"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</row>
    <row r="771"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</row>
    <row r="772"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</row>
    <row r="773"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</row>
    <row r="774"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</row>
    <row r="775"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</row>
    <row r="776"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</row>
    <row r="777"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</row>
    <row r="778"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</row>
    <row r="779"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</row>
    <row r="780"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</row>
    <row r="781"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</row>
    <row r="782"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</row>
    <row r="783"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</row>
    <row r="784"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</row>
    <row r="785"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</row>
    <row r="786"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</row>
    <row r="787"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</row>
    <row r="788"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</row>
    <row r="789"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</row>
    <row r="790"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</row>
    <row r="791"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</row>
    <row r="792"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</row>
    <row r="793"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</row>
    <row r="794"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</row>
    <row r="795"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</row>
    <row r="796"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</row>
    <row r="797"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</row>
    <row r="798"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</row>
    <row r="799"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</row>
    <row r="800"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</row>
    <row r="801"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</row>
    <row r="802"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</row>
    <row r="803"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</row>
    <row r="804"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</row>
    <row r="805"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</row>
    <row r="806"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</row>
    <row r="807"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</row>
    <row r="808"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</row>
    <row r="809"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</row>
    <row r="810"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</row>
    <row r="811"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</row>
    <row r="812"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</row>
    <row r="813"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</row>
    <row r="814"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</row>
    <row r="815"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</row>
    <row r="816"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</row>
    <row r="817"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</row>
    <row r="818"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</row>
    <row r="819"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</row>
    <row r="820"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</row>
    <row r="821"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</row>
    <row r="822"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</row>
    <row r="823"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</row>
    <row r="824"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</row>
    <row r="825"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</row>
    <row r="826"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</row>
    <row r="827"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</row>
    <row r="828"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</row>
    <row r="829"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</row>
    <row r="830"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</row>
    <row r="831"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</row>
    <row r="832"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</row>
    <row r="833"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</row>
    <row r="834"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</row>
    <row r="835"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</row>
    <row r="836"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</row>
    <row r="837"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</row>
    <row r="838"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</row>
    <row r="839"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</row>
    <row r="840"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</row>
    <row r="841"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</row>
    <row r="842"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</row>
    <row r="843"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</row>
    <row r="844"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</row>
    <row r="845"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</row>
    <row r="846"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</row>
    <row r="847"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</row>
    <row r="848"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</row>
    <row r="849"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</row>
    <row r="850"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</row>
    <row r="851"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</row>
    <row r="852"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</row>
    <row r="853"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</row>
    <row r="854"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</row>
    <row r="855"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</row>
    <row r="856"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</row>
    <row r="857"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</row>
    <row r="858"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</row>
    <row r="859"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</row>
    <row r="860"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</row>
    <row r="861"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</row>
    <row r="862"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</row>
    <row r="863"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</row>
    <row r="864"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</row>
    <row r="865"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</row>
    <row r="866"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</row>
    <row r="867"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</row>
    <row r="868"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</row>
    <row r="869"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</row>
    <row r="870"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</row>
    <row r="871"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</row>
    <row r="872"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</row>
    <row r="873"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</row>
    <row r="874"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</row>
    <row r="875"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</row>
    <row r="876"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</row>
    <row r="877"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</row>
    <row r="878"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</row>
    <row r="879"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</row>
    <row r="880"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</row>
    <row r="881"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</row>
    <row r="882"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</row>
    <row r="883"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</row>
    <row r="884"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</row>
    <row r="885"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</row>
    <row r="886"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</row>
    <row r="887"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</row>
    <row r="888"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</row>
    <row r="889"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</row>
    <row r="890"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</row>
    <row r="891"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</row>
    <row r="892"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</row>
    <row r="893"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</row>
    <row r="894"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</row>
    <row r="895"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</row>
    <row r="896"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</row>
    <row r="897"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</row>
    <row r="898"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</row>
    <row r="899"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</row>
    <row r="900"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</row>
    <row r="901"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</row>
    <row r="902"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</row>
    <row r="903"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</row>
    <row r="904"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</row>
    <row r="905"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</row>
    <row r="906"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</row>
    <row r="907"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</row>
    <row r="908"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</row>
    <row r="909"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</row>
    <row r="910"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</row>
    <row r="911"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</row>
    <row r="912"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</row>
    <row r="913"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</row>
    <row r="914"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</row>
    <row r="915"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</row>
    <row r="916"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</row>
    <row r="917"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</row>
    <row r="918"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</row>
    <row r="919"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</row>
    <row r="920"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</row>
    <row r="921"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</row>
    <row r="922"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</row>
    <row r="923"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</row>
    <row r="924"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</row>
    <row r="925"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</row>
    <row r="926"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</row>
    <row r="927"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</row>
    <row r="928"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</row>
    <row r="929"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</row>
    <row r="930"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</row>
    <row r="931"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</row>
    <row r="932"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</row>
    <row r="933"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</row>
    <row r="934"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</row>
    <row r="935"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</row>
    <row r="936"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</row>
    <row r="937"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</row>
    <row r="938"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</row>
    <row r="939"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</row>
    <row r="940"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</row>
    <row r="941"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</row>
    <row r="942"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</row>
    <row r="943"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</row>
    <row r="944"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</row>
    <row r="945"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</row>
    <row r="946"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</row>
    <row r="947"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</row>
    <row r="948"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</row>
    <row r="949"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</row>
    <row r="950"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</row>
    <row r="951"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</row>
    <row r="952"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</row>
    <row r="953"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</row>
    <row r="954"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</row>
    <row r="955"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</row>
    <row r="956"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</row>
    <row r="957"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</row>
    <row r="958"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</row>
    <row r="959"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</row>
    <row r="960"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</row>
    <row r="961"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</row>
    <row r="962"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</row>
    <row r="963"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</row>
    <row r="964"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</row>
    <row r="965"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</row>
    <row r="966"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</row>
    <row r="967"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</row>
    <row r="968"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</row>
    <row r="969"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</row>
    <row r="970"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</row>
    <row r="971"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</row>
    <row r="972"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</row>
    <row r="973"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</row>
    <row r="974"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</row>
    <row r="975"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</row>
    <row r="976"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</row>
    <row r="977"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</row>
    <row r="978"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</row>
    <row r="979"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</row>
    <row r="980"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</row>
    <row r="981"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</row>
    <row r="982"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</row>
    <row r="983"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</row>
    <row r="984"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</row>
    <row r="985"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</row>
    <row r="986"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</row>
    <row r="987"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</row>
    <row r="988"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</row>
  </sheetData>
  <conditionalFormatting sqref="C16:AJ16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2.0"/>
  </cols>
  <sheetData>
    <row r="1">
      <c r="A1" s="10" t="s">
        <v>177</v>
      </c>
      <c r="B1" s="11"/>
      <c r="C1" s="73">
        <f>SUM(C2:C4)</f>
        <v>17000</v>
      </c>
    </row>
    <row r="2">
      <c r="B2" s="15" t="s">
        <v>178</v>
      </c>
      <c r="C2" s="74">
        <f>SUM('Liquidität'!C7:AJ7)</f>
        <v>15000</v>
      </c>
    </row>
    <row r="3">
      <c r="B3" s="15" t="s">
        <v>179</v>
      </c>
      <c r="C3" s="74">
        <f>Investitionen!D2</f>
        <v>2000</v>
      </c>
    </row>
    <row r="4">
      <c r="B4" s="15" t="s">
        <v>180</v>
      </c>
      <c r="C4" s="75">
        <v>0.0</v>
      </c>
    </row>
    <row r="5">
      <c r="C5" s="74"/>
    </row>
    <row r="6">
      <c r="A6" s="10" t="s">
        <v>181</v>
      </c>
      <c r="B6" s="11"/>
      <c r="C6" s="73">
        <f>SUM(C7:C11)</f>
        <v>0</v>
      </c>
    </row>
    <row r="7">
      <c r="B7" s="15" t="s">
        <v>182</v>
      </c>
      <c r="C7" s="75">
        <v>0.0</v>
      </c>
    </row>
    <row r="8">
      <c r="B8" s="15" t="s">
        <v>183</v>
      </c>
      <c r="C8" s="75">
        <v>0.0</v>
      </c>
    </row>
    <row r="9">
      <c r="B9" s="15" t="s">
        <v>184</v>
      </c>
      <c r="C9" s="75">
        <v>0.0</v>
      </c>
    </row>
    <row r="10">
      <c r="B10" s="15" t="s">
        <v>185</v>
      </c>
      <c r="C10" s="75">
        <v>0.0</v>
      </c>
    </row>
    <row r="11">
      <c r="B11" s="15" t="s">
        <v>186</v>
      </c>
      <c r="C11" s="75">
        <v>0.0</v>
      </c>
    </row>
    <row r="12">
      <c r="C12" s="74"/>
    </row>
    <row r="13">
      <c r="A13" s="10" t="s">
        <v>187</v>
      </c>
      <c r="B13" s="11"/>
      <c r="C13" s="73">
        <f>C6+C1</f>
        <v>17000</v>
      </c>
    </row>
    <row r="14">
      <c r="B14" s="15"/>
      <c r="C14" s="74"/>
    </row>
    <row r="15">
      <c r="A15" s="10" t="s">
        <v>188</v>
      </c>
      <c r="B15" s="11"/>
      <c r="C15" s="73">
        <f>SUM(C16:C19)</f>
        <v>17000</v>
      </c>
    </row>
    <row r="16">
      <c r="B16" s="15" t="s">
        <v>130</v>
      </c>
      <c r="C16" s="74">
        <f>-SUM(Kosten!E39:N39)</f>
        <v>2671</v>
      </c>
    </row>
    <row r="17">
      <c r="B17" s="15" t="s">
        <v>189</v>
      </c>
      <c r="C17" s="74">
        <f>-SUMIF('Rentabilität'!C12:AJ12,"&lt;0",'Rentabilität'!C12:AJ12)+SUM(Kosten!E39:N39)</f>
        <v>11008.5</v>
      </c>
    </row>
    <row r="18">
      <c r="B18" s="15" t="s">
        <v>144</v>
      </c>
      <c r="C18" s="74">
        <f>Investitionen!D2</f>
        <v>2000</v>
      </c>
    </row>
    <row r="19">
      <c r="B19" s="15" t="s">
        <v>190</v>
      </c>
      <c r="C19" s="75">
        <f>(C1-SUM(C16:C18))</f>
        <v>1320.5</v>
      </c>
    </row>
    <row r="20">
      <c r="C20" s="74"/>
    </row>
    <row r="21">
      <c r="A21" s="10" t="s">
        <v>191</v>
      </c>
      <c r="B21" s="11"/>
      <c r="C21" s="73">
        <f>C13-C15</f>
        <v>0</v>
      </c>
    </row>
    <row r="23">
      <c r="C23" s="7"/>
    </row>
    <row r="24">
      <c r="C24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74.25"/>
  </cols>
  <sheetData>
    <row r="1">
      <c r="C1" s="15"/>
      <c r="D1" s="15">
        <v>2026.0</v>
      </c>
      <c r="E1" s="15">
        <v>2027.0</v>
      </c>
      <c r="F1" s="15">
        <v>2028.0</v>
      </c>
    </row>
    <row r="2">
      <c r="A2" s="10" t="s">
        <v>192</v>
      </c>
      <c r="B2" s="11"/>
      <c r="C2" s="10"/>
      <c r="D2" s="55">
        <f t="shared" ref="D2:F2" si="1">SUM(D3:D11)</f>
        <v>5300</v>
      </c>
      <c r="E2" s="55">
        <f t="shared" si="1"/>
        <v>5300</v>
      </c>
      <c r="F2" s="55">
        <f t="shared" si="1"/>
        <v>5300</v>
      </c>
    </row>
    <row r="3">
      <c r="B3" s="15" t="s">
        <v>193</v>
      </c>
      <c r="C3" s="43"/>
      <c r="D3" s="43">
        <v>4000.0</v>
      </c>
      <c r="E3" s="43">
        <v>4000.0</v>
      </c>
      <c r="F3" s="43">
        <v>4000.0</v>
      </c>
    </row>
    <row r="4">
      <c r="B4" s="15" t="s">
        <v>194</v>
      </c>
      <c r="C4" s="43"/>
      <c r="D4" s="75">
        <v>0.0</v>
      </c>
      <c r="E4" s="75">
        <v>0.0</v>
      </c>
      <c r="F4" s="75">
        <v>0.0</v>
      </c>
    </row>
    <row r="5">
      <c r="B5" s="15" t="s">
        <v>195</v>
      </c>
      <c r="C5" s="43"/>
      <c r="D5" s="75">
        <v>250.0</v>
      </c>
      <c r="E5" s="75">
        <v>250.0</v>
      </c>
      <c r="F5" s="75">
        <v>250.0</v>
      </c>
    </row>
    <row r="6">
      <c r="B6" s="15" t="s">
        <v>196</v>
      </c>
      <c r="C6" s="43"/>
      <c r="D6" s="43">
        <f t="shared" ref="D6:F6" si="2">(2567+3913)/12</f>
        <v>540</v>
      </c>
      <c r="E6" s="43">
        <f t="shared" si="2"/>
        <v>540</v>
      </c>
      <c r="F6" s="43">
        <f t="shared" si="2"/>
        <v>540</v>
      </c>
    </row>
    <row r="7">
      <c r="B7" s="15" t="s">
        <v>197</v>
      </c>
      <c r="C7" s="43"/>
      <c r="D7" s="43">
        <v>510.0</v>
      </c>
      <c r="E7" s="43">
        <v>510.0</v>
      </c>
      <c r="F7" s="43">
        <v>510.0</v>
      </c>
    </row>
    <row r="8">
      <c r="B8" s="15" t="s">
        <v>198</v>
      </c>
      <c r="C8" s="43"/>
      <c r="D8" s="75">
        <v>0.0</v>
      </c>
      <c r="E8" s="75">
        <v>0.0</v>
      </c>
      <c r="F8" s="75">
        <v>0.0</v>
      </c>
    </row>
    <row r="9">
      <c r="B9" s="15" t="s">
        <v>199</v>
      </c>
      <c r="C9" s="43"/>
      <c r="D9" s="75">
        <v>0.0</v>
      </c>
      <c r="E9" s="75">
        <v>0.0</v>
      </c>
      <c r="F9" s="75">
        <v>0.0</v>
      </c>
    </row>
    <row r="10">
      <c r="B10" s="15" t="s">
        <v>200</v>
      </c>
      <c r="C10" s="43"/>
      <c r="D10" s="75">
        <v>0.0</v>
      </c>
      <c r="E10" s="75">
        <v>0.0</v>
      </c>
      <c r="F10" s="75">
        <v>0.0</v>
      </c>
    </row>
    <row r="11">
      <c r="C11" s="16"/>
      <c r="D11" s="16"/>
      <c r="E11" s="16"/>
      <c r="F11" s="16"/>
    </row>
    <row r="12">
      <c r="A12" s="11" t="s">
        <v>201</v>
      </c>
      <c r="B12" s="11"/>
      <c r="C12" s="13"/>
      <c r="D12" s="13">
        <f t="shared" ref="D12:F12" si="3">-SUM(D13:D25)</f>
        <v>-8380.25</v>
      </c>
      <c r="E12" s="13">
        <f t="shared" si="3"/>
        <v>-8883</v>
      </c>
      <c r="F12" s="13">
        <f t="shared" si="3"/>
        <v>-10052</v>
      </c>
    </row>
    <row r="13">
      <c r="B13" s="15" t="s">
        <v>202</v>
      </c>
      <c r="C13" s="43"/>
      <c r="D13" s="75">
        <v>150.0</v>
      </c>
      <c r="E13" s="75">
        <v>150.0</v>
      </c>
      <c r="F13" s="75">
        <v>150.0</v>
      </c>
    </row>
    <row r="14">
      <c r="B14" s="15" t="s">
        <v>203</v>
      </c>
      <c r="C14" s="43"/>
      <c r="D14" s="75">
        <v>100.0</v>
      </c>
      <c r="E14" s="75">
        <v>100.0</v>
      </c>
      <c r="F14" s="75">
        <v>100.0</v>
      </c>
    </row>
    <row r="15">
      <c r="B15" s="15" t="s">
        <v>204</v>
      </c>
      <c r="C15" s="43"/>
      <c r="D15" s="75">
        <f>(348+75)*3/4+ 268+75</f>
        <v>660.25</v>
      </c>
      <c r="E15" s="75">
        <f t="shared" ref="E15:F15" si="4">348+75</f>
        <v>423</v>
      </c>
      <c r="F15" s="75">
        <f t="shared" si="4"/>
        <v>423</v>
      </c>
    </row>
    <row r="16">
      <c r="B16" s="15" t="s">
        <v>205</v>
      </c>
      <c r="C16" s="43"/>
      <c r="D16" s="75">
        <v>400.0</v>
      </c>
      <c r="E16" s="75">
        <v>400.0</v>
      </c>
      <c r="F16" s="75">
        <v>400.0</v>
      </c>
    </row>
    <row r="17">
      <c r="B17" s="15" t="s">
        <v>206</v>
      </c>
      <c r="C17" s="43"/>
      <c r="D17" s="75">
        <v>10.0</v>
      </c>
      <c r="E17" s="75">
        <v>10.0</v>
      </c>
      <c r="F17" s="75">
        <v>10.0</v>
      </c>
    </row>
    <row r="18">
      <c r="B18" s="15" t="s">
        <v>207</v>
      </c>
      <c r="C18" s="43"/>
      <c r="D18" s="75">
        <f>350+460</f>
        <v>810</v>
      </c>
      <c r="E18" s="75">
        <f>350+750</f>
        <v>1100</v>
      </c>
      <c r="F18" s="75">
        <f>350+1019</f>
        <v>1369</v>
      </c>
    </row>
    <row r="19">
      <c r="B19" s="15" t="s">
        <v>208</v>
      </c>
      <c r="C19" s="43"/>
      <c r="D19" s="75">
        <v>150.0</v>
      </c>
      <c r="E19" s="75">
        <v>600.0</v>
      </c>
      <c r="F19" s="75">
        <v>1500.0</v>
      </c>
    </row>
    <row r="20">
      <c r="B20" s="15" t="s">
        <v>209</v>
      </c>
      <c r="C20" s="43"/>
      <c r="D20" s="75">
        <v>100.0</v>
      </c>
      <c r="E20" s="75">
        <v>100.0</v>
      </c>
      <c r="F20" s="75">
        <v>100.0</v>
      </c>
    </row>
    <row r="21">
      <c r="B21" s="15" t="s">
        <v>210</v>
      </c>
      <c r="C21" s="43"/>
      <c r="D21" s="75">
        <v>500.0</v>
      </c>
      <c r="E21" s="75">
        <v>500.0</v>
      </c>
      <c r="F21" s="75">
        <v>500.0</v>
      </c>
    </row>
    <row r="22">
      <c r="B22" s="15" t="s">
        <v>211</v>
      </c>
      <c r="C22" s="43"/>
      <c r="D22" s="75">
        <v>1800.0</v>
      </c>
      <c r="E22" s="75">
        <v>1800.0</v>
      </c>
      <c r="F22" s="75">
        <v>1800.0</v>
      </c>
    </row>
    <row r="23">
      <c r="B23" s="15" t="s">
        <v>212</v>
      </c>
      <c r="C23" s="43"/>
      <c r="D23" s="75">
        <v>900.0</v>
      </c>
      <c r="E23" s="75">
        <v>900.0</v>
      </c>
      <c r="F23" s="75">
        <v>900.0</v>
      </c>
    </row>
    <row r="24">
      <c r="B24" s="15" t="s">
        <v>213</v>
      </c>
      <c r="C24" s="43"/>
      <c r="D24" s="75">
        <v>500.0</v>
      </c>
      <c r="E24" s="75">
        <v>500.0</v>
      </c>
      <c r="F24" s="75">
        <v>500.0</v>
      </c>
    </row>
    <row r="25">
      <c r="B25" s="15" t="s">
        <v>214</v>
      </c>
      <c r="C25" s="43"/>
      <c r="D25" s="75">
        <v>2300.0</v>
      </c>
      <c r="E25" s="75">
        <v>2300.0</v>
      </c>
      <c r="F25" s="75">
        <v>2300.0</v>
      </c>
    </row>
    <row r="26">
      <c r="B26" s="15" t="s">
        <v>215</v>
      </c>
      <c r="C26" s="43"/>
      <c r="D26" s="75">
        <v>0.0</v>
      </c>
      <c r="E26" s="75">
        <v>0.0</v>
      </c>
      <c r="F26" s="75">
        <v>0.0</v>
      </c>
    </row>
    <row r="27">
      <c r="B27" s="15" t="s">
        <v>216</v>
      </c>
      <c r="C27" s="43"/>
      <c r="D27" s="75">
        <v>0.0</v>
      </c>
      <c r="E27" s="75">
        <v>0.0</v>
      </c>
      <c r="F27" s="75">
        <v>0.0</v>
      </c>
    </row>
    <row r="28">
      <c r="C28" s="33"/>
      <c r="D28" s="33"/>
      <c r="E28" s="16"/>
      <c r="F28" s="16"/>
    </row>
    <row r="29">
      <c r="A29" s="10" t="s">
        <v>217</v>
      </c>
      <c r="B29" s="11"/>
      <c r="C29" s="55"/>
      <c r="D29" s="13"/>
      <c r="E29" s="13"/>
      <c r="F29" s="13"/>
    </row>
    <row r="30">
      <c r="B30" s="10" t="s">
        <v>192</v>
      </c>
      <c r="D30" s="62">
        <f t="shared" ref="D30:F30" si="5">D2</f>
        <v>5300</v>
      </c>
      <c r="E30" s="62">
        <f t="shared" si="5"/>
        <v>5300</v>
      </c>
      <c r="F30" s="62">
        <f t="shared" si="5"/>
        <v>5300</v>
      </c>
    </row>
    <row r="31">
      <c r="B31" s="11" t="s">
        <v>201</v>
      </c>
      <c r="D31" s="62">
        <f t="shared" ref="D31:F31" si="6">D12</f>
        <v>-8380.25</v>
      </c>
      <c r="E31" s="62">
        <f t="shared" si="6"/>
        <v>-8883</v>
      </c>
      <c r="F31" s="62">
        <f t="shared" si="6"/>
        <v>-10052</v>
      </c>
    </row>
    <row r="32">
      <c r="B32" s="44" t="s">
        <v>218</v>
      </c>
      <c r="D32" s="62">
        <f t="shared" ref="D32:F32" si="7">ABS(D2+D12)</f>
        <v>3080.25</v>
      </c>
      <c r="E32" s="62">
        <f t="shared" si="7"/>
        <v>3583</v>
      </c>
      <c r="F32" s="62">
        <f t="shared" si="7"/>
        <v>4752</v>
      </c>
    </row>
    <row r="33">
      <c r="B33" s="44" t="s">
        <v>219</v>
      </c>
      <c r="D33" s="62">
        <f t="shared" ref="D33:F33" si="8">D32*12</f>
        <v>36963</v>
      </c>
      <c r="E33" s="62">
        <f t="shared" si="8"/>
        <v>42996</v>
      </c>
      <c r="F33" s="62">
        <f t="shared" si="8"/>
        <v>57024</v>
      </c>
    </row>
    <row r="35">
      <c r="B35" s="15" t="s">
        <v>220</v>
      </c>
      <c r="C35" s="76">
        <v>22700.0</v>
      </c>
    </row>
    <row r="36">
      <c r="B36" s="15" t="s">
        <v>221</v>
      </c>
      <c r="C36" s="76">
        <v>35000.0</v>
      </c>
    </row>
    <row r="37">
      <c r="B37" s="15" t="s">
        <v>222</v>
      </c>
      <c r="C37" s="76">
        <f>SUM(C35:C36)</f>
        <v>57700</v>
      </c>
      <c r="E37" s="43"/>
      <c r="F37" s="43"/>
    </row>
    <row r="38">
      <c r="B38" s="15" t="s">
        <v>223</v>
      </c>
      <c r="D38" s="74">
        <f>-D33</f>
        <v>-36963</v>
      </c>
      <c r="E38" s="74">
        <f>-D39</f>
        <v>-20737</v>
      </c>
      <c r="F38" s="74">
        <f>E39</f>
        <v>0</v>
      </c>
    </row>
    <row r="39">
      <c r="B39" s="15" t="s">
        <v>224</v>
      </c>
      <c r="D39" s="74">
        <f>C37+D38</f>
        <v>20737</v>
      </c>
      <c r="E39" s="74">
        <f>MAX(0,E37-E33)</f>
        <v>0</v>
      </c>
      <c r="F39" s="75">
        <v>0.0</v>
      </c>
    </row>
    <row r="40">
      <c r="D40" s="74"/>
      <c r="E40" s="74"/>
      <c r="F40" s="74"/>
    </row>
    <row r="41">
      <c r="B41" s="15" t="s">
        <v>225</v>
      </c>
      <c r="C41" s="7"/>
      <c r="D41" s="74">
        <f t="shared" ref="D41:F41" si="9">D33+D38</f>
        <v>0</v>
      </c>
      <c r="E41" s="74">
        <f t="shared" si="9"/>
        <v>22259</v>
      </c>
      <c r="F41" s="74">
        <f t="shared" si="9"/>
        <v>57024</v>
      </c>
    </row>
    <row r="42">
      <c r="B42" s="15" t="s">
        <v>226</v>
      </c>
      <c r="C42" s="7"/>
      <c r="D42" s="74">
        <f t="shared" ref="D42:F42" si="10">MAX(0,(ABS(D33)+D38)/12)</f>
        <v>0</v>
      </c>
      <c r="E42" s="74">
        <f t="shared" si="10"/>
        <v>1854.916667</v>
      </c>
      <c r="F42" s="74">
        <f t="shared" si="10"/>
        <v>4752</v>
      </c>
    </row>
    <row r="43">
      <c r="C43" s="16"/>
      <c r="D43" s="74"/>
      <c r="E43" s="74"/>
      <c r="F43" s="74"/>
    </row>
    <row r="44">
      <c r="B44" s="77" t="s">
        <v>227</v>
      </c>
      <c r="C44" s="78"/>
      <c r="D44" s="79">
        <f>D42*0.25/0.7</f>
        <v>0</v>
      </c>
      <c r="E44" s="79">
        <f t="shared" ref="E44:F44" si="11">E42*0.3/0.7</f>
        <v>794.9642857</v>
      </c>
      <c r="F44" s="79">
        <f t="shared" si="11"/>
        <v>2036.571429</v>
      </c>
    </row>
    <row r="45">
      <c r="B45" s="77" t="s">
        <v>228</v>
      </c>
      <c r="C45" s="78"/>
      <c r="D45" s="79">
        <f t="shared" ref="D45:F45" si="12"> IF(D44*12&gt;18130, ((D44 * 12) - 18130) * 0.055 / 12, 0)</f>
        <v>0</v>
      </c>
      <c r="E45" s="79">
        <f t="shared" si="12"/>
        <v>0</v>
      </c>
      <c r="F45" s="79">
        <f t="shared" si="12"/>
        <v>28.91559524</v>
      </c>
    </row>
    <row r="46">
      <c r="B46" s="77" t="s">
        <v>229</v>
      </c>
      <c r="C46" s="78"/>
      <c r="D46" s="79">
        <f t="shared" ref="D46:F46" si="13">D44*0.08</f>
        <v>0</v>
      </c>
      <c r="E46" s="79">
        <f t="shared" si="13"/>
        <v>63.59714286</v>
      </c>
      <c r="F46" s="79">
        <f t="shared" si="13"/>
        <v>162.9257143</v>
      </c>
    </row>
    <row r="47">
      <c r="C47" s="7"/>
      <c r="D47" s="74"/>
      <c r="E47" s="74"/>
      <c r="F47" s="74"/>
    </row>
    <row r="48">
      <c r="B48" s="15" t="s">
        <v>230</v>
      </c>
      <c r="C48" s="16"/>
      <c r="D48" s="74">
        <f t="shared" ref="D48:F48" si="14">D49*12</f>
        <v>0</v>
      </c>
      <c r="E48" s="74">
        <f t="shared" si="14"/>
        <v>32561.73714</v>
      </c>
      <c r="F48" s="74">
        <f t="shared" si="14"/>
        <v>83764.95286</v>
      </c>
    </row>
    <row r="49">
      <c r="B49" s="15" t="s">
        <v>231</v>
      </c>
      <c r="C49" s="7"/>
      <c r="D49" s="74">
        <f t="shared" ref="D49:F49" si="15">SUM(D44:D46)+ABS(D42)</f>
        <v>0</v>
      </c>
      <c r="E49" s="74">
        <f t="shared" si="15"/>
        <v>2713.478095</v>
      </c>
      <c r="F49" s="74">
        <f t="shared" si="15"/>
        <v>6980.412738</v>
      </c>
    </row>
    <row r="50">
      <c r="C50" s="7"/>
      <c r="D50" s="74"/>
      <c r="E50" s="74"/>
      <c r="F50" s="74"/>
    </row>
    <row r="51">
      <c r="C51" s="80"/>
      <c r="D51" s="80"/>
      <c r="E51" s="16"/>
      <c r="F51" s="16"/>
    </row>
    <row r="52">
      <c r="E52" s="7"/>
      <c r="F52" s="7"/>
    </row>
    <row r="57">
      <c r="C57" s="81"/>
      <c r="D57" s="8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75"/>
    <col customWidth="1" min="3" max="6" width="14.5"/>
    <col customWidth="1" min="7" max="7" width="11.25"/>
    <col customWidth="1" min="8" max="8" width="9.13"/>
    <col customWidth="1" min="9" max="9" width="17.63"/>
    <col customWidth="1" min="10" max="10" width="14.75"/>
    <col customWidth="1" min="11" max="11" width="19.88"/>
    <col customWidth="1" min="12" max="12" width="18.88"/>
  </cols>
  <sheetData>
    <row r="1">
      <c r="A1" s="82"/>
      <c r="B1" s="82" t="s">
        <v>232</v>
      </c>
      <c r="C1" s="83"/>
      <c r="D1" s="83"/>
      <c r="E1" s="83"/>
      <c r="F1" s="83"/>
      <c r="G1" s="83"/>
      <c r="H1" s="83"/>
      <c r="I1" s="83"/>
      <c r="J1" s="83"/>
      <c r="K1" s="83"/>
    </row>
    <row r="3">
      <c r="A3" s="84"/>
      <c r="B3" s="84"/>
      <c r="C3" s="84"/>
      <c r="D3" s="84"/>
      <c r="E3" s="84" t="s">
        <v>233</v>
      </c>
      <c r="F3" s="84"/>
      <c r="G3" s="84"/>
      <c r="H3" s="84"/>
      <c r="I3" s="84"/>
      <c r="J3" s="84" t="s">
        <v>234</v>
      </c>
    </row>
    <row r="4">
      <c r="A4" s="85" t="s">
        <v>235</v>
      </c>
      <c r="B4" s="85" t="s">
        <v>236</v>
      </c>
      <c r="C4" s="85" t="s">
        <v>237</v>
      </c>
      <c r="D4" s="85" t="s">
        <v>238</v>
      </c>
      <c r="E4" s="85" t="s">
        <v>239</v>
      </c>
      <c r="F4" s="85" t="s">
        <v>240</v>
      </c>
      <c r="G4" s="85" t="s">
        <v>241</v>
      </c>
      <c r="H4" s="85" t="s">
        <v>242</v>
      </c>
      <c r="I4" s="85" t="s">
        <v>243</v>
      </c>
      <c r="J4" s="85" t="s">
        <v>244</v>
      </c>
      <c r="K4" s="85" t="s">
        <v>245</v>
      </c>
      <c r="L4" s="85" t="s">
        <v>246</v>
      </c>
    </row>
    <row r="5">
      <c r="A5" s="43">
        <f t="shared" ref="A5:A9" si="1">B5/12</f>
        <v>2500</v>
      </c>
      <c r="B5" s="43">
        <v>30000.0</v>
      </c>
      <c r="C5" s="15">
        <v>17400.0</v>
      </c>
      <c r="D5" s="86">
        <v>0.0676</v>
      </c>
      <c r="E5" s="43">
        <f t="shared" ref="E5:E9" si="2">D5*C5/12</f>
        <v>98.02</v>
      </c>
      <c r="F5" s="43"/>
      <c r="G5" s="43">
        <f t="shared" ref="G5:G9" si="3">0.08*E5</f>
        <v>7.8416</v>
      </c>
      <c r="H5" s="43">
        <v>0.0</v>
      </c>
      <c r="I5" s="43">
        <f t="shared" ref="I5:I9" si="4">B5*(1-D5)/12-G5</f>
        <v>2323.1584</v>
      </c>
      <c r="J5" s="43">
        <v>600.0</v>
      </c>
      <c r="K5" s="43">
        <v>450.0</v>
      </c>
      <c r="L5" s="43">
        <f t="shared" ref="L5:L9" si="5">I5-K5-J5</f>
        <v>1273.1584</v>
      </c>
    </row>
    <row r="6">
      <c r="A6" s="43">
        <f t="shared" si="1"/>
        <v>3333.333333</v>
      </c>
      <c r="B6" s="43">
        <v>40000.0</v>
      </c>
      <c r="C6" s="15">
        <v>25600.0</v>
      </c>
      <c r="D6" s="86">
        <v>0.1297</v>
      </c>
      <c r="E6" s="43">
        <f t="shared" si="2"/>
        <v>276.6933333</v>
      </c>
      <c r="F6" s="43">
        <v>2850.0</v>
      </c>
      <c r="G6" s="43">
        <f t="shared" si="3"/>
        <v>22.13546667</v>
      </c>
      <c r="H6" s="43">
        <v>0.0</v>
      </c>
      <c r="I6" s="43">
        <f t="shared" si="4"/>
        <v>2878.864533</v>
      </c>
      <c r="J6" s="43">
        <v>600.0</v>
      </c>
      <c r="K6" s="43">
        <v>600.0</v>
      </c>
      <c r="L6" s="43">
        <f t="shared" si="5"/>
        <v>1678.864533</v>
      </c>
    </row>
    <row r="7">
      <c r="A7" s="43">
        <f t="shared" si="1"/>
        <v>4166.666667</v>
      </c>
      <c r="B7" s="43">
        <v>50000.0</v>
      </c>
      <c r="C7" s="15">
        <v>33800.0</v>
      </c>
      <c r="D7" s="86">
        <v>0.1842</v>
      </c>
      <c r="E7" s="43">
        <f t="shared" si="2"/>
        <v>518.83</v>
      </c>
      <c r="F7" s="43"/>
      <c r="G7" s="43">
        <f t="shared" si="3"/>
        <v>41.5064</v>
      </c>
      <c r="H7" s="43">
        <v>0.0</v>
      </c>
      <c r="I7" s="43">
        <f t="shared" si="4"/>
        <v>3357.660267</v>
      </c>
      <c r="J7" s="43">
        <v>600.0</v>
      </c>
      <c r="K7" s="43">
        <v>750.0</v>
      </c>
      <c r="L7" s="43">
        <f t="shared" si="5"/>
        <v>2007.660267</v>
      </c>
    </row>
    <row r="8">
      <c r="A8" s="43">
        <f t="shared" si="1"/>
        <v>5000</v>
      </c>
      <c r="B8" s="43">
        <v>60000.0</v>
      </c>
      <c r="C8" s="15">
        <v>42000.0</v>
      </c>
      <c r="D8" s="86">
        <v>0.2357</v>
      </c>
      <c r="E8" s="43">
        <f t="shared" si="2"/>
        <v>824.95</v>
      </c>
      <c r="F8" s="43"/>
      <c r="G8" s="43">
        <f t="shared" si="3"/>
        <v>65.996</v>
      </c>
      <c r="H8" s="43">
        <v>0.0</v>
      </c>
      <c r="I8" s="43">
        <f t="shared" si="4"/>
        <v>3755.504</v>
      </c>
      <c r="J8" s="43">
        <v>600.0</v>
      </c>
      <c r="K8" s="43">
        <v>900.0</v>
      </c>
      <c r="L8" s="43">
        <f t="shared" si="5"/>
        <v>2255.504</v>
      </c>
    </row>
    <row r="9">
      <c r="A9" s="43">
        <f t="shared" si="1"/>
        <v>5833.333333</v>
      </c>
      <c r="B9" s="43">
        <v>70000.0</v>
      </c>
      <c r="C9" s="15">
        <v>50200.0</v>
      </c>
      <c r="D9" s="86">
        <v>0.2857</v>
      </c>
      <c r="E9" s="43">
        <f t="shared" si="2"/>
        <v>1195.178333</v>
      </c>
      <c r="F9" s="43"/>
      <c r="G9" s="43">
        <f t="shared" si="3"/>
        <v>95.61426667</v>
      </c>
      <c r="H9" s="43">
        <v>0.0</v>
      </c>
      <c r="I9" s="43">
        <f t="shared" si="4"/>
        <v>4071.135733</v>
      </c>
      <c r="J9" s="43">
        <v>600.0</v>
      </c>
      <c r="K9" s="43">
        <v>1050.0</v>
      </c>
      <c r="L9" s="43">
        <f t="shared" si="5"/>
        <v>2421.135733</v>
      </c>
    </row>
  </sheetData>
  <mergeCells count="1">
    <mergeCell ref="J3:K3"/>
  </mergeCells>
  <drawing r:id="rId1"/>
</worksheet>
</file>